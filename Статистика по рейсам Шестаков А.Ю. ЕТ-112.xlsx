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filterPrivacy="1"/>
  <xr:revisionPtr revIDLastSave="0" documentId="13_ncr:1_{6292EDC4-EED5-C74E-AB05-B0A5F36081F5}" xr6:coauthVersionLast="47" xr6:coauthVersionMax="47" xr10:uidLastSave="{00000000-0000-0000-0000-000000000000}"/>
  <bookViews>
    <workbookView xWindow="0" yWindow="660" windowWidth="29400" windowHeight="18460" activeTab="1" xr2:uid="{00000000-000D-0000-FFFF-FFFF00000000}"/>
  </bookViews>
  <sheets>
    <sheet name="Данные" sheetId="1" r:id="rId1"/>
    <sheet name="Статистика" sheetId="4" r:id="rId2"/>
    <sheet name="Первичная обработка" sheetId="3" r:id="rId3"/>
  </sheets>
  <definedNames>
    <definedName name="_xlnm._FilterDatabase" localSheetId="2" hidden="1">'Первичная обработка'!$E$1:$E$224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4" l="1"/>
  <c r="E7" i="4"/>
  <c r="F11" i="4"/>
  <c r="G11" i="4"/>
  <c r="F9" i="4"/>
  <c r="G9" i="4"/>
  <c r="E9" i="4"/>
  <c r="F7" i="4"/>
  <c r="G7" i="4"/>
  <c r="F5" i="4"/>
  <c r="G5" i="4"/>
  <c r="E5" i="4"/>
  <c r="E3" i="4"/>
  <c r="G3" i="4"/>
  <c r="F3" i="4"/>
  <c r="J5" i="3"/>
  <c r="K5" i="3"/>
  <c r="I5" i="3"/>
  <c r="I3" i="3"/>
  <c r="K3" i="3"/>
  <c r="J3" i="3"/>
  <c r="I7" i="3" l="1"/>
  <c r="K7" i="3"/>
  <c r="J7" i="3"/>
</calcChain>
</file>

<file path=xl/sharedStrings.xml><?xml version="1.0" encoding="utf-8"?>
<sst xmlns="http://schemas.openxmlformats.org/spreadsheetml/2006/main" count="100" uniqueCount="56">
  <si>
    <t>Вес транспорта, т</t>
  </si>
  <si>
    <t>Скорость, км/ч</t>
  </si>
  <si>
    <t>Минимальная скорость</t>
  </si>
  <si>
    <t>Максимальный вес</t>
  </si>
  <si>
    <t>Минимальный вес</t>
  </si>
  <si>
    <t>Размах веса</t>
  </si>
  <si>
    <t>Размах скорости</t>
  </si>
  <si>
    <t>Расмах расхода</t>
  </si>
  <si>
    <t>Максимальная скорость</t>
  </si>
  <si>
    <t>Максимальный расход</t>
  </si>
  <si>
    <t xml:space="preserve">Минимальный расход </t>
  </si>
  <si>
    <t>Границы интервалов</t>
  </si>
  <si>
    <t>Расход топлива, л/100 км</t>
  </si>
  <si>
    <t>Bin</t>
  </si>
  <si>
    <t>More</t>
  </si>
  <si>
    <t>Frequency</t>
  </si>
  <si>
    <t>Вариационный ряд скорости</t>
  </si>
  <si>
    <t>Вариационный ряд расхода топлива</t>
  </si>
  <si>
    <t>Вариационный ряд веса</t>
  </si>
  <si>
    <t>Медиана Веса</t>
  </si>
  <si>
    <t>Медиана Скорости</t>
  </si>
  <si>
    <t>Медиана Расхода</t>
  </si>
  <si>
    <t>Средняя Веса</t>
  </si>
  <si>
    <t>Среднее Скорости</t>
  </si>
  <si>
    <t>Среднее Расхода</t>
  </si>
  <si>
    <t>Дисперсия Веса</t>
  </si>
  <si>
    <t>Дисперсия Скорости</t>
  </si>
  <si>
    <t>Дисперсия Расхода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</si>
  <si>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</si>
  <si>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</si>
  <si>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</si>
  <si>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</si>
  <si>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</si>
  <si>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</si>
  <si>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</si>
  <si>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</si>
  <si>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</si>
  <si>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</si>
  <si>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</si>
  <si>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</si>
  <si>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</si>
  <si>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</si>
  <si>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</si>
  <si>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>Confidence Level(95.0%)</t>
  </si>
  <si>
    <t>Вес</t>
  </si>
  <si>
    <t>Мои статистические оценки</t>
  </si>
  <si>
    <t>Скорость</t>
  </si>
  <si>
    <t>Расход</t>
  </si>
  <si>
    <t>Мода Веса</t>
  </si>
  <si>
    <t>Мода Скорости</t>
  </si>
  <si>
    <t>Мода Расхода</t>
  </si>
  <si>
    <t>Станд. Откл. Веса</t>
  </si>
  <si>
    <t>Станд. Откл. Скорости</t>
  </si>
  <si>
    <t>Станд. Откл. Расхода</t>
  </si>
  <si>
    <t>Статистические оценки с помощью пакета анализа</t>
  </si>
  <si>
    <t>В пакете анализа вычисляются исправленные оценки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</si>
</sst>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scheme val="minor"/>
    </font>
    <font>
      <sz val="12"/>
      <color rgb="FF000000"/>
      <name val="Times New Roman"/>
      <family val="1"/>
      <charset val="204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Times New Roman"/>
      <family val="1"/>
      <charset val="204"/>
    </font>
    <font>
      <sz val="11"/>
      <color rgb="FF000000"/>
      <name val="Calibri"/>
      <family val="2"/>
      <charset val="204"/>
      <scheme val="minor"/>
    </font>
    <font>
      <i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7E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6" fillId="3" borderId="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vertical="center"/>
    </xf>
    <xf numFmtId="2" fontId="5" fillId="2" borderId="1" xfId="0" applyNumberFormat="1" applyFont="1" applyFill="1" applyBorder="1" applyAlignment="1">
      <alignment horizontal="right" vertical="center"/>
    </xf>
    <xf numFmtId="2" fontId="0" fillId="0" borderId="1" xfId="0" applyNumberFormat="1" applyBorder="1" applyAlignment="1">
      <alignment horizontal="right" wrapText="1"/>
    </xf>
    <xf numFmtId="2" fontId="3" fillId="0" borderId="1" xfId="0" applyNumberFormat="1" applyFont="1" applyBorder="1" applyAlignment="1">
      <alignment horizontal="right" vertical="center" wrapText="1"/>
    </xf>
    <xf numFmtId="2" fontId="0" fillId="2" borderId="1" xfId="0" applyNumberFormat="1" applyFill="1" applyBorder="1" applyAlignment="1">
      <alignment horizontal="right"/>
    </xf>
    <xf numFmtId="2" fontId="4" fillId="2" borderId="1" xfId="0" applyNumberFormat="1" applyFont="1" applyFill="1" applyBorder="1" applyAlignment="1">
      <alignment horizontal="right"/>
    </xf>
    <xf numFmtId="2" fontId="0" fillId="0" borderId="1" xfId="0" applyNumberFormat="1" applyBorder="1" applyAlignment="1">
      <alignment horizontal="right"/>
    </xf>
    <xf numFmtId="2" fontId="3" fillId="0" borderId="1" xfId="0" applyNumberFormat="1" applyFont="1" applyBorder="1" applyAlignment="1">
      <alignment horizontal="right" vertical="center"/>
    </xf>
    <xf numFmtId="2" fontId="0" fillId="0" borderId="0" xfId="0" applyNumberFormat="1"/>
    <xf numFmtId="2" fontId="0" fillId="0" borderId="0" xfId="0" applyNumberFormat="1" applyAlignment="1">
      <alignment horizontal="left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8" fillId="7" borderId="1" xfId="0" applyFont="1" applyFill="1" applyBorder="1" applyAlignment="1">
      <alignment horizontal="center" vertical="center" wrapText="1"/>
    </xf>
    <xf numFmtId="0" fontId="9" fillId="7" borderId="0" xfId="0" applyFont="1" applyFill="1" applyAlignment="1">
      <alignment vertical="center"/>
    </xf>
    <xf numFmtId="0" fontId="9" fillId="7" borderId="1" xfId="0" applyFont="1" applyFill="1" applyBorder="1" applyAlignment="1">
      <alignment horizontal="center" vertical="center" wrapText="1"/>
    </xf>
    <xf numFmtId="2" fontId="10" fillId="8" borderId="2" xfId="0" applyNumberFormat="1" applyFont="1" applyFill="1" applyBorder="1" applyAlignment="1">
      <alignment horizontal="right"/>
    </xf>
    <xf numFmtId="2" fontId="10" fillId="8" borderId="3" xfId="0" applyNumberFormat="1" applyFont="1" applyFill="1" applyBorder="1" applyAlignment="1">
      <alignment horizontal="right"/>
    </xf>
    <xf numFmtId="2" fontId="10" fillId="8" borderId="4" xfId="0" applyNumberFormat="1" applyFont="1" applyFill="1" applyBorder="1" applyAlignment="1">
      <alignment horizontal="right"/>
    </xf>
    <xf numFmtId="2" fontId="11" fillId="8" borderId="2" xfId="0" applyNumberFormat="1" applyFont="1" applyFill="1" applyBorder="1" applyAlignment="1">
      <alignment horizontal="right"/>
    </xf>
    <xf numFmtId="2" fontId="11" fillId="8" borderId="4" xfId="0" applyNumberFormat="1" applyFont="1" applyFill="1" applyBorder="1" applyAlignment="1">
      <alignment horizontal="right"/>
    </xf>
    <xf numFmtId="2" fontId="10" fillId="0" borderId="2" xfId="0" applyNumberFormat="1" applyFont="1" applyBorder="1" applyAlignment="1">
      <alignment horizontal="right" wrapText="1"/>
    </xf>
    <xf numFmtId="2" fontId="10" fillId="0" borderId="4" xfId="0" applyNumberFormat="1" applyFont="1" applyBorder="1" applyAlignment="1">
      <alignment horizontal="right" wrapText="1"/>
    </xf>
    <xf numFmtId="2" fontId="12" fillId="0" borderId="4" xfId="0" applyNumberFormat="1" applyFont="1" applyBorder="1" applyAlignment="1">
      <alignment horizontal="right" vertical="center" wrapText="1"/>
    </xf>
    <xf numFmtId="2" fontId="5" fillId="8" borderId="2" xfId="0" applyNumberFormat="1" applyFont="1" applyFill="1" applyBorder="1" applyAlignment="1">
      <alignment horizontal="right" vertical="center"/>
    </xf>
    <xf numFmtId="2" fontId="5" fillId="8" borderId="4" xfId="0" applyNumberFormat="1" applyFont="1" applyFill="1" applyBorder="1" applyAlignment="1">
      <alignment horizontal="right" vertical="center"/>
    </xf>
    <xf numFmtId="2" fontId="10" fillId="0" borderId="2" xfId="0" applyNumberFormat="1" applyFont="1" applyBorder="1" applyAlignment="1">
      <alignment horizontal="right"/>
    </xf>
    <xf numFmtId="2" fontId="10" fillId="0" borderId="4" xfId="0" applyNumberFormat="1" applyFont="1" applyBorder="1" applyAlignment="1">
      <alignment horizontal="right"/>
    </xf>
    <xf numFmtId="2" fontId="12" fillId="0" borderId="4" xfId="0" applyNumberFormat="1" applyFont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13" fillId="0" borderId="6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0" fillId="9" borderId="0" xfId="0" applyFill="1"/>
    <xf numFmtId="0" fontId="6" fillId="10" borderId="1" xfId="0" applyFont="1" applyFill="1" applyBorder="1" applyAlignment="1">
      <alignment horizontal="center" vertical="center" wrapText="1"/>
    </xf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0" borderId="0" xfId="0" applyFill="1" applyBorder="1" applyAlignment="1"/>
    <xf numFmtId="0" fontId="0" fillId="0" borderId="5" xfId="0" applyFill="1" applyBorder="1" applyAlignment="1"/>
    <xf numFmtId="0" fontId="13" fillId="0" borderId="6" xfId="0" applyFont="1" applyFill="1" applyBorder="1" applyAlignment="1">
      <alignment horizontal="centerContinuous"/>
    </xf>
    <xf numFmtId="0" fontId="0" fillId="14" borderId="0" xfId="0" applyFill="1"/>
    <xf numFmtId="0" fontId="1" fillId="16" borderId="0" xfId="0" applyFont="1" applyFill="1" applyAlignment="1">
      <alignment horizontal="left" vertical="center"/>
    </xf>
    <xf numFmtId="0" fontId="0" fillId="16" borderId="0" xfId="0" applyFill="1"/>
    <xf numFmtId="0" fontId="0" fillId="15" borderId="0" xfId="0" applyFont="1" applyFill="1" applyAlignment="1">
      <alignment vertical="center"/>
    </xf>
    <xf numFmtId="0" fontId="0" fillId="15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Field: </a:t>
            </a:r>
            <a:r>
              <a:rPr lang="ru-RU">
                <a:solidFill>
                  <a:srgbClr val="DD5A13"/>
                </a:solidFill>
              </a:rPr>
              <a:t>Вес транспорта, т</a:t>
            </a:r>
            <a:r>
              <a:rPr lang="ru-RU"/>
              <a:t> </a:t>
            </a:r>
            <a:r>
              <a:rPr lang="en-US"/>
              <a:t>and Field: </a:t>
            </a:r>
            <a:r>
              <a:rPr lang="ru-RU">
                <a:solidFill>
                  <a:srgbClr val="DD5A13"/>
                </a:solidFill>
              </a:rPr>
              <a:t>Расходтоплива, л/100 км</a:t>
            </a:r>
            <a:r>
              <a:rPr lang="ru-RU"/>
              <a:t> </a:t>
            </a:r>
            <a:r>
              <a:rPr lang="en-US"/>
              <a:t>appear highly correlated.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'Первичная обработка'!$C$1</c:f>
              <c:strCache>
                <c:ptCount val="1"/>
                <c:pt idx="0">
                  <c:v>Расход топлива, л/100 км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ED733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2540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forward val="5"/>
            <c:backward val="5"/>
            <c:dispRSqr val="0"/>
            <c:dispEq val="0"/>
          </c:trendline>
          <c:xVal>
            <c:numRef>
              <c:f>'Первичная обработка'!$A$2:$A$224</c:f>
              <c:numCache>
                <c:formatCode>0.00</c:formatCode>
                <c:ptCount val="223"/>
                <c:pt idx="0">
                  <c:v>19.75</c:v>
                </c:pt>
                <c:pt idx="1">
                  <c:v>20</c:v>
                </c:pt>
                <c:pt idx="2">
                  <c:v>20.176470588235293</c:v>
                </c:pt>
                <c:pt idx="3">
                  <c:v>20.333333333333332</c:v>
                </c:pt>
                <c:pt idx="4">
                  <c:v>21</c:v>
                </c:pt>
                <c:pt idx="5">
                  <c:v>21.2</c:v>
                </c:pt>
                <c:pt idx="6">
                  <c:v>21.4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22</c:v>
                </c:pt>
                <c:pt idx="12">
                  <c:v>22.333333333333332</c:v>
                </c:pt>
                <c:pt idx="13">
                  <c:v>22.5</c:v>
                </c:pt>
                <c:pt idx="14">
                  <c:v>22.5</c:v>
                </c:pt>
                <c:pt idx="15">
                  <c:v>22.6</c:v>
                </c:pt>
                <c:pt idx="16">
                  <c:v>23</c:v>
                </c:pt>
                <c:pt idx="17">
                  <c:v>23.142857142857142</c:v>
                </c:pt>
                <c:pt idx="18">
                  <c:v>23.428571428571427</c:v>
                </c:pt>
                <c:pt idx="19">
                  <c:v>23.5</c:v>
                </c:pt>
                <c:pt idx="20">
                  <c:v>23.857142857142858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24</c:v>
                </c:pt>
                <c:pt idx="25">
                  <c:v>24.5</c:v>
                </c:pt>
                <c:pt idx="26">
                  <c:v>24.875</c:v>
                </c:pt>
                <c:pt idx="27">
                  <c:v>25</c:v>
                </c:pt>
                <c:pt idx="28">
                  <c:v>25.428571428571427</c:v>
                </c:pt>
                <c:pt idx="29">
                  <c:v>25.5</c:v>
                </c:pt>
                <c:pt idx="30">
                  <c:v>25.76923076923077</c:v>
                </c:pt>
                <c:pt idx="31">
                  <c:v>25.875</c:v>
                </c:pt>
                <c:pt idx="32">
                  <c:v>26.222222222222221</c:v>
                </c:pt>
                <c:pt idx="33">
                  <c:v>26.222222222222221</c:v>
                </c:pt>
                <c:pt idx="34">
                  <c:v>26.333333333333332</c:v>
                </c:pt>
                <c:pt idx="35">
                  <c:v>26.352941176470587</c:v>
                </c:pt>
                <c:pt idx="36">
                  <c:v>26.5</c:v>
                </c:pt>
                <c:pt idx="37">
                  <c:v>26.5</c:v>
                </c:pt>
                <c:pt idx="38">
                  <c:v>26.529411764705884</c:v>
                </c:pt>
                <c:pt idx="39">
                  <c:v>26.6</c:v>
                </c:pt>
                <c:pt idx="40">
                  <c:v>26.666666666666668</c:v>
                </c:pt>
                <c:pt idx="41">
                  <c:v>26.875</c:v>
                </c:pt>
                <c:pt idx="42">
                  <c:v>27</c:v>
                </c:pt>
                <c:pt idx="43">
                  <c:v>27.125</c:v>
                </c:pt>
                <c:pt idx="44">
                  <c:v>27.2</c:v>
                </c:pt>
                <c:pt idx="45">
                  <c:v>27.25</c:v>
                </c:pt>
                <c:pt idx="46">
                  <c:v>27.25</c:v>
                </c:pt>
                <c:pt idx="47">
                  <c:v>27.25</c:v>
                </c:pt>
                <c:pt idx="48">
                  <c:v>27.4</c:v>
                </c:pt>
                <c:pt idx="49">
                  <c:v>27.5</c:v>
                </c:pt>
                <c:pt idx="50">
                  <c:v>27.5</c:v>
                </c:pt>
                <c:pt idx="51">
                  <c:v>27.666666666666668</c:v>
                </c:pt>
                <c:pt idx="52">
                  <c:v>27.857142857142858</c:v>
                </c:pt>
                <c:pt idx="53">
                  <c:v>27.888888888888889</c:v>
                </c:pt>
                <c:pt idx="54">
                  <c:v>28</c:v>
                </c:pt>
                <c:pt idx="55">
                  <c:v>28</c:v>
                </c:pt>
                <c:pt idx="56">
                  <c:v>28.142857142857142</c:v>
                </c:pt>
                <c:pt idx="57">
                  <c:v>28.5</c:v>
                </c:pt>
                <c:pt idx="58">
                  <c:v>28.5</c:v>
                </c:pt>
                <c:pt idx="59">
                  <c:v>28.7</c:v>
                </c:pt>
                <c:pt idx="60">
                  <c:v>29</c:v>
                </c:pt>
                <c:pt idx="61">
                  <c:v>29.2</c:v>
                </c:pt>
                <c:pt idx="62">
                  <c:v>29.285714285714285</c:v>
                </c:pt>
                <c:pt idx="63">
                  <c:v>29.333333333333332</c:v>
                </c:pt>
                <c:pt idx="64">
                  <c:v>29.6</c:v>
                </c:pt>
                <c:pt idx="65">
                  <c:v>29.75</c:v>
                </c:pt>
                <c:pt idx="66">
                  <c:v>29.785714285714285</c:v>
                </c:pt>
                <c:pt idx="67">
                  <c:v>29.8</c:v>
                </c:pt>
                <c:pt idx="68">
                  <c:v>29.888888888888889</c:v>
                </c:pt>
                <c:pt idx="69">
                  <c:v>29.9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30.333333333333332</c:v>
                </c:pt>
                <c:pt idx="76">
                  <c:v>30.35</c:v>
                </c:pt>
                <c:pt idx="77">
                  <c:v>30.5</c:v>
                </c:pt>
                <c:pt idx="78">
                  <c:v>30.5</c:v>
                </c:pt>
                <c:pt idx="79">
                  <c:v>30.555555555555557</c:v>
                </c:pt>
                <c:pt idx="80">
                  <c:v>30.666666666666668</c:v>
                </c:pt>
                <c:pt idx="81">
                  <c:v>30.7</c:v>
                </c:pt>
                <c:pt idx="82">
                  <c:v>30.833333333333332</c:v>
                </c:pt>
                <c:pt idx="83">
                  <c:v>30.944444444444443</c:v>
                </c:pt>
                <c:pt idx="84">
                  <c:v>31</c:v>
                </c:pt>
                <c:pt idx="85">
                  <c:v>31</c:v>
                </c:pt>
                <c:pt idx="86">
                  <c:v>31</c:v>
                </c:pt>
                <c:pt idx="87">
                  <c:v>31.181818181818183</c:v>
                </c:pt>
                <c:pt idx="88">
                  <c:v>31.333333333333332</c:v>
                </c:pt>
                <c:pt idx="89">
                  <c:v>31.5</c:v>
                </c:pt>
                <c:pt idx="90">
                  <c:v>31.6</c:v>
                </c:pt>
                <c:pt idx="91">
                  <c:v>31.666666666666668</c:v>
                </c:pt>
                <c:pt idx="92">
                  <c:v>31.714285714285715</c:v>
                </c:pt>
                <c:pt idx="93">
                  <c:v>32</c:v>
                </c:pt>
                <c:pt idx="94">
                  <c:v>32</c:v>
                </c:pt>
                <c:pt idx="95">
                  <c:v>32</c:v>
                </c:pt>
                <c:pt idx="96">
                  <c:v>32</c:v>
                </c:pt>
                <c:pt idx="97">
                  <c:v>32.18181818181818</c:v>
                </c:pt>
                <c:pt idx="98">
                  <c:v>32.352941176470587</c:v>
                </c:pt>
                <c:pt idx="99">
                  <c:v>32.375</c:v>
                </c:pt>
                <c:pt idx="100">
                  <c:v>32.4</c:v>
                </c:pt>
                <c:pt idx="101">
                  <c:v>32.5</c:v>
                </c:pt>
                <c:pt idx="102">
                  <c:v>32.571428571428569</c:v>
                </c:pt>
                <c:pt idx="103">
                  <c:v>32.571428571428569</c:v>
                </c:pt>
                <c:pt idx="104">
                  <c:v>32.857142857142854</c:v>
                </c:pt>
                <c:pt idx="105">
                  <c:v>33</c:v>
                </c:pt>
                <c:pt idx="106">
                  <c:v>33</c:v>
                </c:pt>
                <c:pt idx="107">
                  <c:v>33</c:v>
                </c:pt>
                <c:pt idx="108">
                  <c:v>33</c:v>
                </c:pt>
                <c:pt idx="109">
                  <c:v>33</c:v>
                </c:pt>
                <c:pt idx="110">
                  <c:v>33</c:v>
                </c:pt>
                <c:pt idx="111">
                  <c:v>33.294117647058826</c:v>
                </c:pt>
                <c:pt idx="112">
                  <c:v>33.333333333333336</c:v>
                </c:pt>
                <c:pt idx="113">
                  <c:v>33.4</c:v>
                </c:pt>
                <c:pt idx="114">
                  <c:v>33.5</c:v>
                </c:pt>
                <c:pt idx="115">
                  <c:v>33.5</c:v>
                </c:pt>
                <c:pt idx="116">
                  <c:v>33.625</c:v>
                </c:pt>
                <c:pt idx="117">
                  <c:v>33.666666666666664</c:v>
                </c:pt>
                <c:pt idx="118">
                  <c:v>33.666666666666664</c:v>
                </c:pt>
                <c:pt idx="119">
                  <c:v>33.666666666666664</c:v>
                </c:pt>
                <c:pt idx="120">
                  <c:v>33.666666666666664</c:v>
                </c:pt>
                <c:pt idx="121">
                  <c:v>33.705882352941174</c:v>
                </c:pt>
                <c:pt idx="122">
                  <c:v>33.799999999999997</c:v>
                </c:pt>
                <c:pt idx="123">
                  <c:v>34</c:v>
                </c:pt>
                <c:pt idx="124">
                  <c:v>34</c:v>
                </c:pt>
                <c:pt idx="125">
                  <c:v>34</c:v>
                </c:pt>
                <c:pt idx="126">
                  <c:v>34</c:v>
                </c:pt>
                <c:pt idx="127">
                  <c:v>34</c:v>
                </c:pt>
                <c:pt idx="128">
                  <c:v>34.125</c:v>
                </c:pt>
                <c:pt idx="129">
                  <c:v>34.200000000000003</c:v>
                </c:pt>
                <c:pt idx="130">
                  <c:v>34.25</c:v>
                </c:pt>
                <c:pt idx="131">
                  <c:v>34.285714285714285</c:v>
                </c:pt>
                <c:pt idx="132">
                  <c:v>34.333333333333336</c:v>
                </c:pt>
                <c:pt idx="133">
                  <c:v>34.363636363636367</c:v>
                </c:pt>
                <c:pt idx="134">
                  <c:v>34.5</c:v>
                </c:pt>
                <c:pt idx="135">
                  <c:v>34.5</c:v>
                </c:pt>
                <c:pt idx="136">
                  <c:v>34.5</c:v>
                </c:pt>
                <c:pt idx="137">
                  <c:v>34.5</c:v>
                </c:pt>
                <c:pt idx="138">
                  <c:v>34.5</c:v>
                </c:pt>
                <c:pt idx="139">
                  <c:v>34.583333333333336</c:v>
                </c:pt>
                <c:pt idx="140">
                  <c:v>34.666666666666664</c:v>
                </c:pt>
                <c:pt idx="141">
                  <c:v>34.700000000000003</c:v>
                </c:pt>
                <c:pt idx="142">
                  <c:v>34.714285714285715</c:v>
                </c:pt>
                <c:pt idx="143">
                  <c:v>34.75</c:v>
                </c:pt>
                <c:pt idx="144">
                  <c:v>34.833333333333336</c:v>
                </c:pt>
                <c:pt idx="145">
                  <c:v>34.941176470588232</c:v>
                </c:pt>
                <c:pt idx="146">
                  <c:v>35</c:v>
                </c:pt>
                <c:pt idx="147">
                  <c:v>35</c:v>
                </c:pt>
                <c:pt idx="148">
                  <c:v>35</c:v>
                </c:pt>
                <c:pt idx="149">
                  <c:v>35</c:v>
                </c:pt>
                <c:pt idx="150">
                  <c:v>35</c:v>
                </c:pt>
                <c:pt idx="151">
                  <c:v>35</c:v>
                </c:pt>
                <c:pt idx="152">
                  <c:v>35</c:v>
                </c:pt>
                <c:pt idx="153">
                  <c:v>35</c:v>
                </c:pt>
                <c:pt idx="154">
                  <c:v>35.111111111111114</c:v>
                </c:pt>
                <c:pt idx="155">
                  <c:v>35.111111111111114</c:v>
                </c:pt>
                <c:pt idx="156">
                  <c:v>35.142857142857146</c:v>
                </c:pt>
                <c:pt idx="157">
                  <c:v>35.166666666666664</c:v>
                </c:pt>
                <c:pt idx="158">
                  <c:v>35.200000000000003</c:v>
                </c:pt>
                <c:pt idx="159">
                  <c:v>35.200000000000003</c:v>
                </c:pt>
                <c:pt idx="160">
                  <c:v>35.200000000000003</c:v>
                </c:pt>
                <c:pt idx="161">
                  <c:v>35.25</c:v>
                </c:pt>
                <c:pt idx="162">
                  <c:v>35.285714285714285</c:v>
                </c:pt>
                <c:pt idx="163">
                  <c:v>35.333333333333336</c:v>
                </c:pt>
                <c:pt idx="164">
                  <c:v>35.333333333333336</c:v>
                </c:pt>
                <c:pt idx="165">
                  <c:v>35.4</c:v>
                </c:pt>
                <c:pt idx="166">
                  <c:v>35.428571428571431</c:v>
                </c:pt>
                <c:pt idx="167">
                  <c:v>35.428571428571431</c:v>
                </c:pt>
                <c:pt idx="168">
                  <c:v>35.432432432432435</c:v>
                </c:pt>
                <c:pt idx="169">
                  <c:v>35.454545454545453</c:v>
                </c:pt>
                <c:pt idx="170">
                  <c:v>35.571428571428569</c:v>
                </c:pt>
                <c:pt idx="171">
                  <c:v>35.625</c:v>
                </c:pt>
                <c:pt idx="172">
                  <c:v>35.631578947368418</c:v>
                </c:pt>
                <c:pt idx="173">
                  <c:v>35.700000000000003</c:v>
                </c:pt>
                <c:pt idx="174">
                  <c:v>35.714285714285715</c:v>
                </c:pt>
                <c:pt idx="175">
                  <c:v>35.75</c:v>
                </c:pt>
                <c:pt idx="176">
                  <c:v>35.75</c:v>
                </c:pt>
                <c:pt idx="177">
                  <c:v>35.799999999999997</c:v>
                </c:pt>
                <c:pt idx="178">
                  <c:v>35.833333333333336</c:v>
                </c:pt>
                <c:pt idx="179">
                  <c:v>35.888888888888886</c:v>
                </c:pt>
                <c:pt idx="180">
                  <c:v>35.954545454545453</c:v>
                </c:pt>
                <c:pt idx="181">
                  <c:v>36</c:v>
                </c:pt>
                <c:pt idx="182">
                  <c:v>36</c:v>
                </c:pt>
                <c:pt idx="183">
                  <c:v>36</c:v>
                </c:pt>
                <c:pt idx="184">
                  <c:v>36</c:v>
                </c:pt>
                <c:pt idx="185">
                  <c:v>36</c:v>
                </c:pt>
                <c:pt idx="186">
                  <c:v>36</c:v>
                </c:pt>
                <c:pt idx="187">
                  <c:v>36</c:v>
                </c:pt>
                <c:pt idx="188">
                  <c:v>36</c:v>
                </c:pt>
                <c:pt idx="189">
                  <c:v>36.125</c:v>
                </c:pt>
                <c:pt idx="190">
                  <c:v>36.166666666666664</c:v>
                </c:pt>
                <c:pt idx="191">
                  <c:v>36.272727272727273</c:v>
                </c:pt>
                <c:pt idx="192">
                  <c:v>36.285714285714285</c:v>
                </c:pt>
                <c:pt idx="193">
                  <c:v>36.333333333333336</c:v>
                </c:pt>
                <c:pt idx="194">
                  <c:v>36.333333333333336</c:v>
                </c:pt>
                <c:pt idx="195">
                  <c:v>36.375</c:v>
                </c:pt>
                <c:pt idx="196">
                  <c:v>36.5</c:v>
                </c:pt>
                <c:pt idx="197">
                  <c:v>36.5</c:v>
                </c:pt>
                <c:pt idx="198">
                  <c:v>36.533333333333331</c:v>
                </c:pt>
                <c:pt idx="199">
                  <c:v>36.75</c:v>
                </c:pt>
                <c:pt idx="200">
                  <c:v>36.75</c:v>
                </c:pt>
                <c:pt idx="201">
                  <c:v>36.777777777777779</c:v>
                </c:pt>
                <c:pt idx="202">
                  <c:v>36.9</c:v>
                </c:pt>
                <c:pt idx="203">
                  <c:v>37</c:v>
                </c:pt>
                <c:pt idx="204">
                  <c:v>37</c:v>
                </c:pt>
                <c:pt idx="205">
                  <c:v>37</c:v>
                </c:pt>
                <c:pt idx="206">
                  <c:v>37</c:v>
                </c:pt>
                <c:pt idx="207">
                  <c:v>37</c:v>
                </c:pt>
                <c:pt idx="208">
                  <c:v>37</c:v>
                </c:pt>
                <c:pt idx="209">
                  <c:v>37</c:v>
                </c:pt>
                <c:pt idx="210">
                  <c:v>37</c:v>
                </c:pt>
                <c:pt idx="211">
                  <c:v>37</c:v>
                </c:pt>
                <c:pt idx="212">
                  <c:v>37</c:v>
                </c:pt>
                <c:pt idx="213">
                  <c:v>37</c:v>
                </c:pt>
                <c:pt idx="214">
                  <c:v>37.166666666666664</c:v>
                </c:pt>
                <c:pt idx="215">
                  <c:v>37.200000000000003</c:v>
                </c:pt>
                <c:pt idx="216">
                  <c:v>37.5</c:v>
                </c:pt>
                <c:pt idx="217">
                  <c:v>37.666666666666664</c:v>
                </c:pt>
                <c:pt idx="218">
                  <c:v>38</c:v>
                </c:pt>
                <c:pt idx="219">
                  <c:v>38</c:v>
                </c:pt>
                <c:pt idx="220">
                  <c:v>38.117647058823529</c:v>
                </c:pt>
                <c:pt idx="221">
                  <c:v>38.142857142857146</c:v>
                </c:pt>
                <c:pt idx="222">
                  <c:v>40</c:v>
                </c:pt>
              </c:numCache>
            </c:numRef>
          </c:xVal>
          <c:yVal>
            <c:numRef>
              <c:f>'Первичная обработка'!$C$2:$C$224</c:f>
              <c:numCache>
                <c:formatCode>0.00</c:formatCode>
                <c:ptCount val="223"/>
                <c:pt idx="0">
                  <c:v>22.993487890376038</c:v>
                </c:pt>
                <c:pt idx="1">
                  <c:v>25.32</c:v>
                </c:pt>
                <c:pt idx="2">
                  <c:v>23.159499714399647</c:v>
                </c:pt>
                <c:pt idx="3">
                  <c:v>22.716724915986561</c:v>
                </c:pt>
                <c:pt idx="4">
                  <c:v>22.86</c:v>
                </c:pt>
                <c:pt idx="5">
                  <c:v>22.665859994769423</c:v>
                </c:pt>
                <c:pt idx="6">
                  <c:v>22.128584925467145</c:v>
                </c:pt>
                <c:pt idx="7">
                  <c:v>23.76262643433914</c:v>
                </c:pt>
                <c:pt idx="8">
                  <c:v>24.26</c:v>
                </c:pt>
                <c:pt idx="9">
                  <c:v>23.55474436863258</c:v>
                </c:pt>
                <c:pt idx="10">
                  <c:v>24.858590512678333</c:v>
                </c:pt>
                <c:pt idx="11">
                  <c:v>22.3</c:v>
                </c:pt>
                <c:pt idx="12">
                  <c:v>23.186830377444291</c:v>
                </c:pt>
                <c:pt idx="13">
                  <c:v>23.902870725700208</c:v>
                </c:pt>
                <c:pt idx="14">
                  <c:v>22.176004382761139</c:v>
                </c:pt>
                <c:pt idx="15">
                  <c:v>23.19248797825632</c:v>
                </c:pt>
                <c:pt idx="16">
                  <c:v>23.76663118527042</c:v>
                </c:pt>
                <c:pt idx="17">
                  <c:v>26.005807618752261</c:v>
                </c:pt>
                <c:pt idx="18">
                  <c:v>22.249936717068231</c:v>
                </c:pt>
                <c:pt idx="19">
                  <c:v>23.377815762004179</c:v>
                </c:pt>
                <c:pt idx="20">
                  <c:v>25.629146320346319</c:v>
                </c:pt>
                <c:pt idx="21">
                  <c:v>21.87</c:v>
                </c:pt>
                <c:pt idx="22">
                  <c:v>26.637670910978745</c:v>
                </c:pt>
                <c:pt idx="23">
                  <c:v>23.36</c:v>
                </c:pt>
                <c:pt idx="24">
                  <c:v>25.998222990286635</c:v>
                </c:pt>
                <c:pt idx="25">
                  <c:v>28.726244131455399</c:v>
                </c:pt>
                <c:pt idx="26">
                  <c:v>26.11503854719891</c:v>
                </c:pt>
                <c:pt idx="27">
                  <c:v>27.702941176470585</c:v>
                </c:pt>
                <c:pt idx="28">
                  <c:v>25.052921918077978</c:v>
                </c:pt>
                <c:pt idx="29">
                  <c:v>24.964157263751762</c:v>
                </c:pt>
                <c:pt idx="30">
                  <c:v>23.561206788047137</c:v>
                </c:pt>
                <c:pt idx="31">
                  <c:v>26.690363867146186</c:v>
                </c:pt>
                <c:pt idx="32">
                  <c:v>26.762539145154463</c:v>
                </c:pt>
                <c:pt idx="33">
                  <c:v>25.161476213830305</c:v>
                </c:pt>
                <c:pt idx="34">
                  <c:v>26.268570852998732</c:v>
                </c:pt>
                <c:pt idx="35">
                  <c:v>24.902975101626012</c:v>
                </c:pt>
                <c:pt idx="36">
                  <c:v>24.595444740159685</c:v>
                </c:pt>
                <c:pt idx="37">
                  <c:v>26.195760146079991</c:v>
                </c:pt>
                <c:pt idx="38">
                  <c:v>24.864729624720027</c:v>
                </c:pt>
                <c:pt idx="39">
                  <c:v>27.037940005686668</c:v>
                </c:pt>
                <c:pt idx="40">
                  <c:v>26.025115926942366</c:v>
                </c:pt>
                <c:pt idx="41">
                  <c:v>26.483220707656617</c:v>
                </c:pt>
                <c:pt idx="42">
                  <c:v>28.301973549488054</c:v>
                </c:pt>
                <c:pt idx="43">
                  <c:v>26.028269191693422</c:v>
                </c:pt>
                <c:pt idx="44">
                  <c:v>25.064934278085847</c:v>
                </c:pt>
                <c:pt idx="45">
                  <c:v>25.822193323368207</c:v>
                </c:pt>
                <c:pt idx="46">
                  <c:v>23.711053050397879</c:v>
                </c:pt>
                <c:pt idx="47">
                  <c:v>24.545884874920773</c:v>
                </c:pt>
                <c:pt idx="48">
                  <c:v>24.507255423824496</c:v>
                </c:pt>
                <c:pt idx="49">
                  <c:v>28.00581874061897</c:v>
                </c:pt>
                <c:pt idx="50">
                  <c:v>23.750243749999999</c:v>
                </c:pt>
                <c:pt idx="51">
                  <c:v>24.376758197498106</c:v>
                </c:pt>
                <c:pt idx="52">
                  <c:v>27.374474002418378</c:v>
                </c:pt>
                <c:pt idx="53">
                  <c:v>26.33716547596061</c:v>
                </c:pt>
                <c:pt idx="54">
                  <c:v>26.229518672558701</c:v>
                </c:pt>
                <c:pt idx="55">
                  <c:v>22.674409521118804</c:v>
                </c:pt>
                <c:pt idx="56">
                  <c:v>24.029575843863082</c:v>
                </c:pt>
                <c:pt idx="57">
                  <c:v>29.15726120556414</c:v>
                </c:pt>
                <c:pt idx="58">
                  <c:v>24.270554246826329</c:v>
                </c:pt>
                <c:pt idx="59">
                  <c:v>28.350624332459471</c:v>
                </c:pt>
                <c:pt idx="60">
                  <c:v>23.827910447761191</c:v>
                </c:pt>
                <c:pt idx="61">
                  <c:v>27.578504858538682</c:v>
                </c:pt>
                <c:pt idx="62">
                  <c:v>27.141374828278554</c:v>
                </c:pt>
                <c:pt idx="63">
                  <c:v>25.887215548721887</c:v>
                </c:pt>
                <c:pt idx="64">
                  <c:v>25.316563380281686</c:v>
                </c:pt>
                <c:pt idx="65">
                  <c:v>26.79330130597015</c:v>
                </c:pt>
                <c:pt idx="66">
                  <c:v>26.754019527465157</c:v>
                </c:pt>
                <c:pt idx="67">
                  <c:v>27.748289283003242</c:v>
                </c:pt>
                <c:pt idx="68">
                  <c:v>29.393976408912195</c:v>
                </c:pt>
                <c:pt idx="69">
                  <c:v>27.43940556731911</c:v>
                </c:pt>
                <c:pt idx="70">
                  <c:v>27.039465621010397</c:v>
                </c:pt>
                <c:pt idx="71">
                  <c:v>26.033322784810132</c:v>
                </c:pt>
                <c:pt idx="72">
                  <c:v>26.79839466631806</c:v>
                </c:pt>
                <c:pt idx="73">
                  <c:v>25.460742835111173</c:v>
                </c:pt>
                <c:pt idx="74">
                  <c:v>29.42</c:v>
                </c:pt>
                <c:pt idx="75">
                  <c:v>28.829069604534162</c:v>
                </c:pt>
                <c:pt idx="76">
                  <c:v>27.892785839379535</c:v>
                </c:pt>
                <c:pt idx="77">
                  <c:v>28.054100620612473</c:v>
                </c:pt>
                <c:pt idx="78">
                  <c:v>26.172400269239404</c:v>
                </c:pt>
                <c:pt idx="79">
                  <c:v>27.7209878945093</c:v>
                </c:pt>
                <c:pt idx="80">
                  <c:v>26.649733574706964</c:v>
                </c:pt>
                <c:pt idx="81">
                  <c:v>26.80319895580832</c:v>
                </c:pt>
                <c:pt idx="82">
                  <c:v>24.006467926404778</c:v>
                </c:pt>
                <c:pt idx="83">
                  <c:v>25.340490812873337</c:v>
                </c:pt>
                <c:pt idx="84">
                  <c:v>26.085352855379785</c:v>
                </c:pt>
                <c:pt idx="85">
                  <c:v>27.798992486851986</c:v>
                </c:pt>
                <c:pt idx="86">
                  <c:v>27.100204358645659</c:v>
                </c:pt>
                <c:pt idx="87">
                  <c:v>27.575050281660751</c:v>
                </c:pt>
                <c:pt idx="88">
                  <c:v>24.787976845151956</c:v>
                </c:pt>
                <c:pt idx="89">
                  <c:v>32.136571575872139</c:v>
                </c:pt>
                <c:pt idx="90">
                  <c:v>28.738090878642407</c:v>
                </c:pt>
                <c:pt idx="91">
                  <c:v>29.572039361751045</c:v>
                </c:pt>
                <c:pt idx="92">
                  <c:v>27.178137855236301</c:v>
                </c:pt>
                <c:pt idx="93">
                  <c:v>25.87829525152797</c:v>
                </c:pt>
                <c:pt idx="94">
                  <c:v>26.32103787327021</c:v>
                </c:pt>
                <c:pt idx="95">
                  <c:v>28.257793472966391</c:v>
                </c:pt>
                <c:pt idx="96">
                  <c:v>25.057433344908745</c:v>
                </c:pt>
                <c:pt idx="97">
                  <c:v>29.637322807884814</c:v>
                </c:pt>
                <c:pt idx="98">
                  <c:v>28.89601869937756</c:v>
                </c:pt>
                <c:pt idx="99">
                  <c:v>28.795678870989214</c:v>
                </c:pt>
                <c:pt idx="100">
                  <c:v>26.192447266024985</c:v>
                </c:pt>
                <c:pt idx="101">
                  <c:v>31.026247712019526</c:v>
                </c:pt>
                <c:pt idx="102">
                  <c:v>29.326910378443007</c:v>
                </c:pt>
                <c:pt idx="103">
                  <c:v>27.573700508023549</c:v>
                </c:pt>
                <c:pt idx="104">
                  <c:v>25.85303070527824</c:v>
                </c:pt>
                <c:pt idx="105">
                  <c:v>30.441432746289323</c:v>
                </c:pt>
                <c:pt idx="106">
                  <c:v>29.150388035569925</c:v>
                </c:pt>
                <c:pt idx="107">
                  <c:v>33.872293309303899</c:v>
                </c:pt>
                <c:pt idx="108">
                  <c:v>32.479999999999997</c:v>
                </c:pt>
                <c:pt idx="109">
                  <c:v>24.788382771651911</c:v>
                </c:pt>
                <c:pt idx="110">
                  <c:v>26.28215353544223</c:v>
                </c:pt>
                <c:pt idx="111">
                  <c:v>28.396561879125805</c:v>
                </c:pt>
                <c:pt idx="112">
                  <c:v>29.71931605871886</c:v>
                </c:pt>
                <c:pt idx="113">
                  <c:v>28.12569596900655</c:v>
                </c:pt>
                <c:pt idx="114">
                  <c:v>28.67949453869393</c:v>
                </c:pt>
                <c:pt idx="115">
                  <c:v>24.51295860566449</c:v>
                </c:pt>
                <c:pt idx="116">
                  <c:v>27.508698410181189</c:v>
                </c:pt>
                <c:pt idx="117">
                  <c:v>26.707983946627749</c:v>
                </c:pt>
                <c:pt idx="118">
                  <c:v>28.170660283922089</c:v>
                </c:pt>
                <c:pt idx="119">
                  <c:v>33.533440709617182</c:v>
                </c:pt>
                <c:pt idx="120">
                  <c:v>29.674428720210738</c:v>
                </c:pt>
                <c:pt idx="121">
                  <c:v>26.319447386175451</c:v>
                </c:pt>
                <c:pt idx="122">
                  <c:v>28.928860203535081</c:v>
                </c:pt>
                <c:pt idx="123">
                  <c:v>28.76</c:v>
                </c:pt>
                <c:pt idx="124">
                  <c:v>29.09</c:v>
                </c:pt>
                <c:pt idx="125">
                  <c:v>29.57</c:v>
                </c:pt>
                <c:pt idx="126">
                  <c:v>27.990415871121716</c:v>
                </c:pt>
                <c:pt idx="127">
                  <c:v>24.95</c:v>
                </c:pt>
                <c:pt idx="128">
                  <c:v>29.269173651904165</c:v>
                </c:pt>
                <c:pt idx="129">
                  <c:v>29.428845297118627</c:v>
                </c:pt>
                <c:pt idx="130">
                  <c:v>28.060761521580098</c:v>
                </c:pt>
                <c:pt idx="131">
                  <c:v>28.417766949935338</c:v>
                </c:pt>
                <c:pt idx="132">
                  <c:v>27.763321192499671</c:v>
                </c:pt>
                <c:pt idx="133">
                  <c:v>28.852186569777619</c:v>
                </c:pt>
                <c:pt idx="134">
                  <c:v>25.339209982076383</c:v>
                </c:pt>
                <c:pt idx="135">
                  <c:v>31.630774374460746</c:v>
                </c:pt>
                <c:pt idx="136">
                  <c:v>27.816477994428965</c:v>
                </c:pt>
                <c:pt idx="137">
                  <c:v>30.633456071735196</c:v>
                </c:pt>
                <c:pt idx="138">
                  <c:v>31.336007723427734</c:v>
                </c:pt>
                <c:pt idx="139">
                  <c:v>28.336184353798473</c:v>
                </c:pt>
                <c:pt idx="140">
                  <c:v>30.761725022104336</c:v>
                </c:pt>
                <c:pt idx="141">
                  <c:v>30.423336468471419</c:v>
                </c:pt>
                <c:pt idx="142">
                  <c:v>31.011762799740762</c:v>
                </c:pt>
                <c:pt idx="143">
                  <c:v>26.809047524160608</c:v>
                </c:pt>
                <c:pt idx="144">
                  <c:v>31.125424257821006</c:v>
                </c:pt>
                <c:pt idx="145">
                  <c:v>30.66388536970457</c:v>
                </c:pt>
                <c:pt idx="146">
                  <c:v>28.84084744796122</c:v>
                </c:pt>
                <c:pt idx="147">
                  <c:v>31.044182680432737</c:v>
                </c:pt>
                <c:pt idx="148">
                  <c:v>29.8304040348964</c:v>
                </c:pt>
                <c:pt idx="149">
                  <c:v>27.134010649126921</c:v>
                </c:pt>
                <c:pt idx="150">
                  <c:v>30.068126220886551</c:v>
                </c:pt>
                <c:pt idx="151">
                  <c:v>24.908953746717835</c:v>
                </c:pt>
                <c:pt idx="152">
                  <c:v>25.925338235294117</c:v>
                </c:pt>
                <c:pt idx="153">
                  <c:v>32.38923204336696</c:v>
                </c:pt>
                <c:pt idx="154">
                  <c:v>29.776718402314202</c:v>
                </c:pt>
                <c:pt idx="155">
                  <c:v>27.523846280357439</c:v>
                </c:pt>
                <c:pt idx="156">
                  <c:v>28.434181085167136</c:v>
                </c:pt>
                <c:pt idx="157">
                  <c:v>29.633339025615268</c:v>
                </c:pt>
                <c:pt idx="158">
                  <c:v>29.712317808678169</c:v>
                </c:pt>
                <c:pt idx="159">
                  <c:v>28.937016114430559</c:v>
                </c:pt>
                <c:pt idx="160">
                  <c:v>32.565095417599245</c:v>
                </c:pt>
                <c:pt idx="161">
                  <c:v>25.093164875371595</c:v>
                </c:pt>
                <c:pt idx="162">
                  <c:v>28.873146923947356</c:v>
                </c:pt>
                <c:pt idx="163">
                  <c:v>27.510615719406047</c:v>
                </c:pt>
                <c:pt idx="164">
                  <c:v>31.5067871150797</c:v>
                </c:pt>
                <c:pt idx="165">
                  <c:v>30.102098314275608</c:v>
                </c:pt>
                <c:pt idx="166">
                  <c:v>27.747513896875599</c:v>
                </c:pt>
                <c:pt idx="167">
                  <c:v>25.773047214911099</c:v>
                </c:pt>
                <c:pt idx="168">
                  <c:v>28.886949161887955</c:v>
                </c:pt>
                <c:pt idx="169">
                  <c:v>28.696827570722949</c:v>
                </c:pt>
                <c:pt idx="170">
                  <c:v>30.406915840468677</c:v>
                </c:pt>
                <c:pt idx="171">
                  <c:v>29.720263779950582</c:v>
                </c:pt>
                <c:pt idx="172">
                  <c:v>30.181658200075116</c:v>
                </c:pt>
                <c:pt idx="173">
                  <c:v>29.142795555977592</c:v>
                </c:pt>
                <c:pt idx="174">
                  <c:v>30.088241454150843</c:v>
                </c:pt>
                <c:pt idx="175">
                  <c:v>31.046080766243854</c:v>
                </c:pt>
                <c:pt idx="176">
                  <c:v>27.36298410790598</c:v>
                </c:pt>
                <c:pt idx="177">
                  <c:v>31.307383795309171</c:v>
                </c:pt>
                <c:pt idx="178">
                  <c:v>30.166356154875814</c:v>
                </c:pt>
                <c:pt idx="179">
                  <c:v>32.164008909910905</c:v>
                </c:pt>
                <c:pt idx="180">
                  <c:v>30.206859197552948</c:v>
                </c:pt>
                <c:pt idx="181">
                  <c:v>32.437622925724085</c:v>
                </c:pt>
                <c:pt idx="182">
                  <c:v>29.96</c:v>
                </c:pt>
                <c:pt idx="183">
                  <c:v>28.35</c:v>
                </c:pt>
                <c:pt idx="184">
                  <c:v>30.408556634304201</c:v>
                </c:pt>
                <c:pt idx="185">
                  <c:v>28.408303704352395</c:v>
                </c:pt>
                <c:pt idx="186">
                  <c:v>30.658685376661733</c:v>
                </c:pt>
                <c:pt idx="187">
                  <c:v>28.969999999999995</c:v>
                </c:pt>
                <c:pt idx="188">
                  <c:v>24.993281828931806</c:v>
                </c:pt>
                <c:pt idx="189">
                  <c:v>30.290736304638287</c:v>
                </c:pt>
                <c:pt idx="190">
                  <c:v>28.04862406953627</c:v>
                </c:pt>
                <c:pt idx="191">
                  <c:v>29.25314111810858</c:v>
                </c:pt>
                <c:pt idx="192">
                  <c:v>31.749609147609149</c:v>
                </c:pt>
                <c:pt idx="193">
                  <c:v>31.545646675060091</c:v>
                </c:pt>
                <c:pt idx="194">
                  <c:v>26.842666894664841</c:v>
                </c:pt>
                <c:pt idx="195">
                  <c:v>31.504660484741439</c:v>
                </c:pt>
                <c:pt idx="196">
                  <c:v>29.434867024848892</c:v>
                </c:pt>
                <c:pt idx="197">
                  <c:v>29.089738317757014</c:v>
                </c:pt>
                <c:pt idx="198">
                  <c:v>28.374468017732738</c:v>
                </c:pt>
                <c:pt idx="199">
                  <c:v>28.759476636629465</c:v>
                </c:pt>
                <c:pt idx="200">
                  <c:v>31.894628106405325</c:v>
                </c:pt>
                <c:pt idx="201">
                  <c:v>30.23789193895789</c:v>
                </c:pt>
                <c:pt idx="202">
                  <c:v>33.329438267740322</c:v>
                </c:pt>
                <c:pt idx="203">
                  <c:v>34.592100400369574</c:v>
                </c:pt>
                <c:pt idx="204">
                  <c:v>32.166338236129249</c:v>
                </c:pt>
                <c:pt idx="205">
                  <c:v>29.99</c:v>
                </c:pt>
                <c:pt idx="206">
                  <c:v>26.732114996280156</c:v>
                </c:pt>
                <c:pt idx="207">
                  <c:v>31.26</c:v>
                </c:pt>
                <c:pt idx="208">
                  <c:v>26.240086037185566</c:v>
                </c:pt>
                <c:pt idx="209">
                  <c:v>31.493903731173837</c:v>
                </c:pt>
                <c:pt idx="210">
                  <c:v>30.44</c:v>
                </c:pt>
                <c:pt idx="211">
                  <c:v>27.877581233864507</c:v>
                </c:pt>
                <c:pt idx="212">
                  <c:v>26.82191489361702</c:v>
                </c:pt>
                <c:pt idx="213">
                  <c:v>25.553889343145272</c:v>
                </c:pt>
                <c:pt idx="214">
                  <c:v>32.340501690090726</c:v>
                </c:pt>
                <c:pt idx="215">
                  <c:v>29.485476169956048</c:v>
                </c:pt>
                <c:pt idx="216">
                  <c:v>30.530269449505827</c:v>
                </c:pt>
                <c:pt idx="217">
                  <c:v>31.997408101219179</c:v>
                </c:pt>
                <c:pt idx="218">
                  <c:v>29.84</c:v>
                </c:pt>
                <c:pt idx="219">
                  <c:v>28.450403560830861</c:v>
                </c:pt>
                <c:pt idx="220">
                  <c:v>25.854515274141082</c:v>
                </c:pt>
                <c:pt idx="221">
                  <c:v>33.429525147358561</c:v>
                </c:pt>
                <c:pt idx="222">
                  <c:v>29.73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C5-884D-82F0-1799B4886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3088255"/>
        <c:axId val="1193090047"/>
      </c:scatterChart>
      <c:valAx>
        <c:axId val="1193088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Вес транспорта, 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090047"/>
        <c:crosses val="autoZero"/>
        <c:crossBetween val="midCat"/>
      </c:valAx>
      <c:valAx>
        <c:axId val="119309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Расходтоплива, л/100 км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088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Вес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'Первичная обработка'!$I$33:$I$38</c:f>
              <c:strCache>
                <c:ptCount val="6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  <c:pt idx="5">
                  <c:v>More</c:v>
                </c:pt>
              </c:strCache>
            </c:strRef>
          </c:cat>
          <c:val>
            <c:numRef>
              <c:f>'Первичная обработка'!$J$33:$J$38</c:f>
              <c:numCache>
                <c:formatCode>General</c:formatCode>
                <c:ptCount val="6"/>
                <c:pt idx="0">
                  <c:v>2</c:v>
                </c:pt>
                <c:pt idx="1">
                  <c:v>26</c:v>
                </c:pt>
                <c:pt idx="2">
                  <c:v>47</c:v>
                </c:pt>
                <c:pt idx="3">
                  <c:v>79</c:v>
                </c:pt>
                <c:pt idx="4">
                  <c:v>69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6F-AC4C-B01E-4EB2112CE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0977471"/>
        <c:axId val="1199529855"/>
      </c:barChart>
      <c:catAx>
        <c:axId val="12009774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99529855"/>
        <c:crosses val="autoZero"/>
        <c:auto val="1"/>
        <c:lblAlgn val="ctr"/>
        <c:lblOffset val="100"/>
        <c:noMultiLvlLbl val="0"/>
      </c:catAx>
      <c:valAx>
        <c:axId val="11995298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0097747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Скорость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'Первичная обработка'!$I$43:$I$48</c:f>
              <c:strCache>
                <c:ptCount val="6"/>
                <c:pt idx="0">
                  <c:v>60</c:v>
                </c:pt>
                <c:pt idx="1">
                  <c:v>65</c:v>
                </c:pt>
                <c:pt idx="2">
                  <c:v>70</c:v>
                </c:pt>
                <c:pt idx="3">
                  <c:v>75</c:v>
                </c:pt>
                <c:pt idx="4">
                  <c:v>80</c:v>
                </c:pt>
                <c:pt idx="5">
                  <c:v>More</c:v>
                </c:pt>
              </c:strCache>
            </c:strRef>
          </c:cat>
          <c:val>
            <c:numRef>
              <c:f>'Первичная обработка'!$J$43:$J$48</c:f>
              <c:numCache>
                <c:formatCode>General</c:formatCode>
                <c:ptCount val="6"/>
                <c:pt idx="0">
                  <c:v>2</c:v>
                </c:pt>
                <c:pt idx="1">
                  <c:v>16</c:v>
                </c:pt>
                <c:pt idx="2">
                  <c:v>71</c:v>
                </c:pt>
                <c:pt idx="3">
                  <c:v>111</c:v>
                </c:pt>
                <c:pt idx="4">
                  <c:v>22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5A-6749-A1B4-78E7BFD3B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2076031"/>
        <c:axId val="1192073791"/>
      </c:barChart>
      <c:catAx>
        <c:axId val="11920760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92073791"/>
        <c:crosses val="autoZero"/>
        <c:auto val="1"/>
        <c:lblAlgn val="ctr"/>
        <c:lblOffset val="100"/>
        <c:noMultiLvlLbl val="0"/>
      </c:catAx>
      <c:valAx>
        <c:axId val="119207379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9207603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Расход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'Первичная обработка'!$I$53:$I$57</c:f>
              <c:strCache>
                <c:ptCount val="5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More</c:v>
                </c:pt>
              </c:strCache>
            </c:strRef>
          </c:cat>
          <c:val>
            <c:numRef>
              <c:f>'Первичная обработка'!$J$53:$J$57</c:f>
              <c:numCache>
                <c:formatCode>General</c:formatCode>
                <c:ptCount val="5"/>
                <c:pt idx="0">
                  <c:v>0</c:v>
                </c:pt>
                <c:pt idx="1">
                  <c:v>41</c:v>
                </c:pt>
                <c:pt idx="2">
                  <c:v>135</c:v>
                </c:pt>
                <c:pt idx="3">
                  <c:v>47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B9-9E46-B1AB-216F87724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2061631"/>
        <c:axId val="682059839"/>
      </c:barChart>
      <c:catAx>
        <c:axId val="6820616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82059839"/>
        <c:crosses val="autoZero"/>
        <c:auto val="1"/>
        <c:lblAlgn val="ctr"/>
        <c:lblOffset val="100"/>
        <c:noMultiLvlLbl val="0"/>
      </c:catAx>
      <c:valAx>
        <c:axId val="6820598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8206163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14</xdr:row>
      <xdr:rowOff>12700</xdr:rowOff>
    </xdr:from>
    <xdr:to>
      <xdr:col>11</xdr:col>
      <xdr:colOff>0</xdr:colOff>
      <xdr:row>30</xdr:row>
      <xdr:rowOff>12700</xdr:rowOff>
    </xdr:to>
    <xdr:graphicFrame macro="">
      <xdr:nvGraphicFramePr>
        <xdr:cNvPr id="6" name="Chart 5" descr="Chart type: Scatter. Field: Вес транспорта, т and Field: Расходтоплива, л/100 км appear highly correlated.&#10;&#10;Description automatically generated">
          <a:extLst>
            <a:ext uri="{FF2B5EF4-FFF2-40B4-BE49-F238E27FC236}">
              <a16:creationId xmlns:a16="http://schemas.microsoft.com/office/drawing/2014/main" id="{58E59DCE-3A8A-A41F-6216-FD320ABA35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12700</xdr:colOff>
      <xdr:row>30</xdr:row>
      <xdr:rowOff>177800</xdr:rowOff>
    </xdr:from>
    <xdr:to>
      <xdr:col>15</xdr:col>
      <xdr:colOff>0</xdr:colOff>
      <xdr:row>40</xdr:row>
      <xdr:rowOff>165100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BA91740-1BE3-7900-C0AE-2A89097D6C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12700</xdr:colOff>
      <xdr:row>40</xdr:row>
      <xdr:rowOff>177800</xdr:rowOff>
    </xdr:from>
    <xdr:to>
      <xdr:col>15</xdr:col>
      <xdr:colOff>0</xdr:colOff>
      <xdr:row>50</xdr:row>
      <xdr:rowOff>165100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A7889FA-E82C-543C-481E-D478F91127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12700</xdr:colOff>
      <xdr:row>50</xdr:row>
      <xdr:rowOff>177800</xdr:rowOff>
    </xdr:from>
    <xdr:to>
      <xdr:col>15</xdr:col>
      <xdr:colOff>0</xdr:colOff>
      <xdr:row>60</xdr:row>
      <xdr:rowOff>152400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ADC0358-5D98-F485-2B8E-7F4EF5258D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4"/>
  <sheetViews>
    <sheetView zoomScaleNormal="100" workbookViewId="0">
      <selection activeCell="C1" sqref="C1"/>
    </sheetView>
  </sheetViews>
  <sheetFormatPr baseColWidth="10" defaultColWidth="8.83203125" defaultRowHeight="15" x14ac:dyDescent="0.2"/>
  <cols>
    <col min="1" max="1" width="14.5" customWidth="1"/>
    <col min="2" max="2" width="19.1640625" customWidth="1"/>
    <col min="3" max="3" width="20.33203125" customWidth="1"/>
    <col min="4" max="4" width="18.5" customWidth="1"/>
  </cols>
  <sheetData>
    <row r="1" spans="1:3" ht="34" x14ac:dyDescent="0.2">
      <c r="A1" s="1" t="s">
        <v>0</v>
      </c>
      <c r="B1" s="2" t="s">
        <v>1</v>
      </c>
      <c r="C1" s="31" t="s">
        <v>12</v>
      </c>
    </row>
    <row r="2" spans="1:3" x14ac:dyDescent="0.2">
      <c r="A2" s="6">
        <v>19.75</v>
      </c>
      <c r="B2" s="6">
        <v>67.075000000000003</v>
      </c>
      <c r="C2" s="6">
        <v>22.993487890376038</v>
      </c>
    </row>
    <row r="3" spans="1:3" x14ac:dyDescent="0.2">
      <c r="A3" s="7">
        <v>20</v>
      </c>
      <c r="B3" s="7">
        <v>63.4</v>
      </c>
      <c r="C3" s="7">
        <v>25.32</v>
      </c>
    </row>
    <row r="4" spans="1:3" x14ac:dyDescent="0.2">
      <c r="A4" s="4">
        <v>20.176470588235293</v>
      </c>
      <c r="B4" s="4">
        <v>69.544117647058812</v>
      </c>
      <c r="C4" s="5">
        <v>23.159499714399647</v>
      </c>
    </row>
    <row r="5" spans="1:3" x14ac:dyDescent="0.2">
      <c r="A5" s="4">
        <v>20.333333333333332</v>
      </c>
      <c r="B5" s="4">
        <v>66.833333333333329</v>
      </c>
      <c r="C5" s="5">
        <v>22.716724915986561</v>
      </c>
    </row>
    <row r="6" spans="1:3" x14ac:dyDescent="0.2">
      <c r="A6" s="7">
        <v>21</v>
      </c>
      <c r="B6" s="7">
        <v>67.599999999999994</v>
      </c>
      <c r="C6" s="7">
        <v>22.86</v>
      </c>
    </row>
    <row r="7" spans="1:3" x14ac:dyDescent="0.2">
      <c r="A7" s="3">
        <v>21.2</v>
      </c>
      <c r="B7" s="3">
        <v>68.84</v>
      </c>
      <c r="C7" s="3">
        <v>22.665859994769423</v>
      </c>
    </row>
    <row r="8" spans="1:3" x14ac:dyDescent="0.2">
      <c r="A8" s="6">
        <v>21.4</v>
      </c>
      <c r="B8" s="6">
        <v>73.36</v>
      </c>
      <c r="C8" s="6">
        <v>22.128584925467145</v>
      </c>
    </row>
    <row r="9" spans="1:3" x14ac:dyDescent="0.2">
      <c r="A9" s="3">
        <v>22</v>
      </c>
      <c r="B9" s="3">
        <v>73.599999999999994</v>
      </c>
      <c r="C9" s="3">
        <v>23.76262643433914</v>
      </c>
    </row>
    <row r="10" spans="1:3" x14ac:dyDescent="0.2">
      <c r="A10" s="3">
        <v>22</v>
      </c>
      <c r="B10" s="3">
        <v>72.5</v>
      </c>
      <c r="C10" s="3">
        <v>24.26</v>
      </c>
    </row>
    <row r="11" spans="1:3" x14ac:dyDescent="0.2">
      <c r="A11" s="3">
        <v>22</v>
      </c>
      <c r="B11" s="3">
        <v>76.849999999999994</v>
      </c>
      <c r="C11" s="3">
        <v>23.55474436863258</v>
      </c>
    </row>
    <row r="12" spans="1:3" x14ac:dyDescent="0.2">
      <c r="A12" s="7">
        <v>22</v>
      </c>
      <c r="B12" s="7">
        <v>69.34545454545453</v>
      </c>
      <c r="C12" s="7">
        <v>24.858590512678333</v>
      </c>
    </row>
    <row r="13" spans="1:3" x14ac:dyDescent="0.2">
      <c r="A13" s="8">
        <v>22</v>
      </c>
      <c r="B13" s="8">
        <v>66.8</v>
      </c>
      <c r="C13" s="9">
        <v>22.3</v>
      </c>
    </row>
    <row r="14" spans="1:3" x14ac:dyDescent="0.2">
      <c r="A14" s="6">
        <v>22.333333333333332</v>
      </c>
      <c r="B14" s="6">
        <v>73.266666666666666</v>
      </c>
      <c r="C14" s="6">
        <v>23.186830377444291</v>
      </c>
    </row>
    <row r="15" spans="1:3" x14ac:dyDescent="0.2">
      <c r="A15" s="7">
        <v>22.5</v>
      </c>
      <c r="B15" s="7">
        <v>75.550000000000011</v>
      </c>
      <c r="C15" s="7">
        <v>23.902870725700208</v>
      </c>
    </row>
    <row r="16" spans="1:3" x14ac:dyDescent="0.2">
      <c r="A16" s="6">
        <v>22.5</v>
      </c>
      <c r="B16" s="6">
        <v>72.733333333333334</v>
      </c>
      <c r="C16" s="6">
        <v>22.176004382761139</v>
      </c>
    </row>
    <row r="17" spans="1:3" x14ac:dyDescent="0.2">
      <c r="A17" s="7">
        <v>22.6</v>
      </c>
      <c r="B17" s="7">
        <v>74.44</v>
      </c>
      <c r="C17" s="7">
        <v>23.19248797825632</v>
      </c>
    </row>
    <row r="18" spans="1:3" x14ac:dyDescent="0.2">
      <c r="A18" s="3">
        <v>23</v>
      </c>
      <c r="B18" s="3">
        <v>62.75</v>
      </c>
      <c r="C18" s="3">
        <v>23.76663118527042</v>
      </c>
    </row>
    <row r="19" spans="1:3" x14ac:dyDescent="0.2">
      <c r="A19" s="3">
        <v>23.142857142857142</v>
      </c>
      <c r="B19" s="3">
        <v>74.44285714285715</v>
      </c>
      <c r="C19" s="3">
        <v>26.005807618752261</v>
      </c>
    </row>
    <row r="20" spans="1:3" x14ac:dyDescent="0.2">
      <c r="A20" s="3">
        <v>23.428571428571427</v>
      </c>
      <c r="B20" s="3">
        <v>70.05714285714285</v>
      </c>
      <c r="C20" s="3">
        <v>22.249936717068231</v>
      </c>
    </row>
    <row r="21" spans="1:3" x14ac:dyDescent="0.2">
      <c r="A21" s="6">
        <v>23.5</v>
      </c>
      <c r="B21" s="6">
        <v>75.900000000000006</v>
      </c>
      <c r="C21" s="6">
        <v>23.377815762004179</v>
      </c>
    </row>
    <row r="22" spans="1:3" x14ac:dyDescent="0.2">
      <c r="A22" s="7">
        <v>23.857142857142858</v>
      </c>
      <c r="B22" s="7">
        <v>73.228571428571414</v>
      </c>
      <c r="C22" s="7">
        <v>25.629146320346319</v>
      </c>
    </row>
    <row r="23" spans="1:3" x14ac:dyDescent="0.2">
      <c r="A23" s="3">
        <v>24</v>
      </c>
      <c r="B23" s="3">
        <v>71.2</v>
      </c>
      <c r="C23" s="3">
        <v>21.87</v>
      </c>
    </row>
    <row r="24" spans="1:3" x14ac:dyDescent="0.2">
      <c r="A24" s="3">
        <v>24</v>
      </c>
      <c r="B24" s="3">
        <v>70.933333333333337</v>
      </c>
      <c r="C24" s="3">
        <v>26.637670910978745</v>
      </c>
    </row>
    <row r="25" spans="1:3" x14ac:dyDescent="0.2">
      <c r="A25" s="3">
        <v>24</v>
      </c>
      <c r="B25" s="3">
        <v>71.3</v>
      </c>
      <c r="C25" s="3">
        <v>23.36</v>
      </c>
    </row>
    <row r="26" spans="1:3" x14ac:dyDescent="0.2">
      <c r="A26" s="7">
        <v>24</v>
      </c>
      <c r="B26" s="7">
        <v>73.3</v>
      </c>
      <c r="C26" s="7">
        <v>25.998222990286635</v>
      </c>
    </row>
    <row r="27" spans="1:3" x14ac:dyDescent="0.2">
      <c r="A27" s="3">
        <v>24.5</v>
      </c>
      <c r="B27" s="3">
        <v>68.05</v>
      </c>
      <c r="C27" s="3">
        <v>28.726244131455399</v>
      </c>
    </row>
    <row r="28" spans="1:3" x14ac:dyDescent="0.2">
      <c r="A28" s="8">
        <v>24.875</v>
      </c>
      <c r="B28" s="8">
        <v>70.3125</v>
      </c>
      <c r="C28" s="9">
        <v>26.11503854719891</v>
      </c>
    </row>
    <row r="29" spans="1:3" x14ac:dyDescent="0.2">
      <c r="A29" s="3">
        <v>25</v>
      </c>
      <c r="B29" s="3">
        <v>67.400000000000006</v>
      </c>
      <c r="C29" s="3">
        <v>27.702941176470585</v>
      </c>
    </row>
    <row r="30" spans="1:3" x14ac:dyDescent="0.2">
      <c r="A30" s="8">
        <v>25.428571428571427</v>
      </c>
      <c r="B30" s="8">
        <v>63.81428571428571</v>
      </c>
      <c r="C30" s="9">
        <v>25.052921918077978</v>
      </c>
    </row>
    <row r="31" spans="1:3" x14ac:dyDescent="0.2">
      <c r="A31" s="3">
        <v>25.5</v>
      </c>
      <c r="B31" s="3">
        <v>73.150000000000006</v>
      </c>
      <c r="C31" s="3">
        <v>24.964157263751762</v>
      </c>
    </row>
    <row r="32" spans="1:3" x14ac:dyDescent="0.2">
      <c r="A32" s="7">
        <v>25.76923076923077</v>
      </c>
      <c r="B32" s="7">
        <v>70.07692307692308</v>
      </c>
      <c r="C32" s="7">
        <v>23.561206788047137</v>
      </c>
    </row>
    <row r="33" spans="1:3" x14ac:dyDescent="0.2">
      <c r="A33" s="6">
        <v>25.875</v>
      </c>
      <c r="B33" s="6">
        <v>70.474999999999994</v>
      </c>
      <c r="C33" s="6">
        <v>26.690363867146186</v>
      </c>
    </row>
    <row r="34" spans="1:3" x14ac:dyDescent="0.2">
      <c r="A34" s="7">
        <v>26.222222222222221</v>
      </c>
      <c r="B34" s="7">
        <v>75.48888888888888</v>
      </c>
      <c r="C34" s="7">
        <v>26.762539145154463</v>
      </c>
    </row>
    <row r="35" spans="1:3" x14ac:dyDescent="0.2">
      <c r="A35" s="6">
        <v>26.222222222222221</v>
      </c>
      <c r="B35" s="6">
        <v>70.5</v>
      </c>
      <c r="C35" s="6">
        <v>25.161476213830305</v>
      </c>
    </row>
    <row r="36" spans="1:3" x14ac:dyDescent="0.2">
      <c r="A36" s="6">
        <v>26.333333333333332</v>
      </c>
      <c r="B36" s="6">
        <v>72.62222222222222</v>
      </c>
      <c r="C36" s="6">
        <v>26.268570852998732</v>
      </c>
    </row>
    <row r="37" spans="1:3" x14ac:dyDescent="0.2">
      <c r="A37" s="6">
        <v>26.352941176470587</v>
      </c>
      <c r="B37" s="6">
        <v>71.376470588235293</v>
      </c>
      <c r="C37" s="6">
        <v>24.902975101626012</v>
      </c>
    </row>
    <row r="38" spans="1:3" x14ac:dyDescent="0.2">
      <c r="A38" s="7">
        <v>26.5</v>
      </c>
      <c r="B38" s="7">
        <v>71.487499999999997</v>
      </c>
      <c r="C38" s="7">
        <v>24.595444740159685</v>
      </c>
    </row>
    <row r="39" spans="1:3" x14ac:dyDescent="0.2">
      <c r="A39" s="6">
        <v>26.5</v>
      </c>
      <c r="B39" s="6">
        <v>70.300000000000011</v>
      </c>
      <c r="C39" s="6">
        <v>26.195760146079991</v>
      </c>
    </row>
    <row r="40" spans="1:3" x14ac:dyDescent="0.2">
      <c r="A40" s="3">
        <v>26.529411764705884</v>
      </c>
      <c r="B40" s="3">
        <v>74.168148463088926</v>
      </c>
      <c r="C40" s="3">
        <v>24.864729624720027</v>
      </c>
    </row>
    <row r="41" spans="1:3" x14ac:dyDescent="0.2">
      <c r="A41" s="6">
        <v>26.6</v>
      </c>
      <c r="B41" s="6">
        <v>69.2</v>
      </c>
      <c r="C41" s="6">
        <v>27.037940005686668</v>
      </c>
    </row>
    <row r="42" spans="1:3" x14ac:dyDescent="0.2">
      <c r="A42" s="7">
        <v>26.666666666666668</v>
      </c>
      <c r="B42" s="7">
        <v>68.466666666666654</v>
      </c>
      <c r="C42" s="7">
        <v>26.025115926942366</v>
      </c>
    </row>
    <row r="43" spans="1:3" x14ac:dyDescent="0.2">
      <c r="A43" s="7">
        <v>26.875</v>
      </c>
      <c r="B43" s="7">
        <v>68.387499999999989</v>
      </c>
      <c r="C43" s="7">
        <v>26.483220707656617</v>
      </c>
    </row>
    <row r="44" spans="1:3" x14ac:dyDescent="0.2">
      <c r="A44" s="6">
        <v>27</v>
      </c>
      <c r="B44" s="6">
        <v>66.36</v>
      </c>
      <c r="C44" s="6">
        <v>28.301973549488054</v>
      </c>
    </row>
    <row r="45" spans="1:3" x14ac:dyDescent="0.2">
      <c r="A45" s="3">
        <v>27.125</v>
      </c>
      <c r="B45" s="3">
        <v>73.599999999999994</v>
      </c>
      <c r="C45" s="3">
        <v>26.028269191693422</v>
      </c>
    </row>
    <row r="46" spans="1:3" x14ac:dyDescent="0.2">
      <c r="A46" s="8">
        <v>27.2</v>
      </c>
      <c r="B46" s="8">
        <v>70.3</v>
      </c>
      <c r="C46" s="9">
        <v>25.064934278085847</v>
      </c>
    </row>
    <row r="47" spans="1:3" x14ac:dyDescent="0.2">
      <c r="A47" s="3">
        <v>27.25</v>
      </c>
      <c r="B47" s="3">
        <v>72.150000000000006</v>
      </c>
      <c r="C47" s="3">
        <v>25.822193323368207</v>
      </c>
    </row>
    <row r="48" spans="1:3" x14ac:dyDescent="0.2">
      <c r="A48" s="3">
        <v>27.25</v>
      </c>
      <c r="B48" s="3">
        <v>66.324999999999989</v>
      </c>
      <c r="C48" s="3">
        <v>23.711053050397879</v>
      </c>
    </row>
    <row r="49" spans="1:3" x14ac:dyDescent="0.2">
      <c r="A49" s="7">
        <v>27.25</v>
      </c>
      <c r="B49" s="7">
        <v>71.581250000000011</v>
      </c>
      <c r="C49" s="7">
        <v>24.545884874920773</v>
      </c>
    </row>
    <row r="50" spans="1:3" x14ac:dyDescent="0.2">
      <c r="A50" s="3">
        <v>27.4</v>
      </c>
      <c r="B50" s="3">
        <v>69.740000000000009</v>
      </c>
      <c r="C50" s="3">
        <v>24.507255423824496</v>
      </c>
    </row>
    <row r="51" spans="1:3" x14ac:dyDescent="0.2">
      <c r="A51" s="7">
        <v>27.5</v>
      </c>
      <c r="B51" s="7">
        <v>76.825000000000003</v>
      </c>
      <c r="C51" s="7">
        <v>28.00581874061897</v>
      </c>
    </row>
    <row r="52" spans="1:3" x14ac:dyDescent="0.2">
      <c r="A52" s="8">
        <v>27.5</v>
      </c>
      <c r="B52" s="8">
        <v>75.95</v>
      </c>
      <c r="C52" s="9">
        <v>23.750243749999999</v>
      </c>
    </row>
    <row r="53" spans="1:3" x14ac:dyDescent="0.2">
      <c r="A53" s="8">
        <v>27.666666666666668</v>
      </c>
      <c r="B53" s="8">
        <v>68.466666666666669</v>
      </c>
      <c r="C53" s="9">
        <v>24.376758197498106</v>
      </c>
    </row>
    <row r="54" spans="1:3" x14ac:dyDescent="0.2">
      <c r="A54" s="6">
        <v>27.857142857142858</v>
      </c>
      <c r="B54" s="6">
        <v>69.271428571428558</v>
      </c>
      <c r="C54" s="6">
        <v>27.374474002418378</v>
      </c>
    </row>
    <row r="55" spans="1:3" x14ac:dyDescent="0.2">
      <c r="A55" s="3">
        <v>27.888888888888889</v>
      </c>
      <c r="B55" s="3">
        <v>69.477777777777774</v>
      </c>
      <c r="C55" s="3">
        <v>26.33716547596061</v>
      </c>
    </row>
    <row r="56" spans="1:3" x14ac:dyDescent="0.2">
      <c r="A56" s="3">
        <v>28</v>
      </c>
      <c r="B56" s="3">
        <v>65.075000000000003</v>
      </c>
      <c r="C56" s="3">
        <v>26.229518672558701</v>
      </c>
    </row>
    <row r="57" spans="1:3" x14ac:dyDescent="0.2">
      <c r="A57" s="7">
        <v>28</v>
      </c>
      <c r="B57" s="7">
        <v>73.599999999999994</v>
      </c>
      <c r="C57" s="7">
        <v>22.674409521118804</v>
      </c>
    </row>
    <row r="58" spans="1:3" x14ac:dyDescent="0.2">
      <c r="A58" s="8">
        <v>28.142857142857142</v>
      </c>
      <c r="B58" s="8">
        <v>72.728571428571428</v>
      </c>
      <c r="C58" s="9">
        <v>24.029575843863082</v>
      </c>
    </row>
    <row r="59" spans="1:3" x14ac:dyDescent="0.2">
      <c r="A59" s="3">
        <v>28.5</v>
      </c>
      <c r="B59" s="3">
        <v>61.15</v>
      </c>
      <c r="C59" s="3">
        <v>29.15726120556414</v>
      </c>
    </row>
    <row r="60" spans="1:3" x14ac:dyDescent="0.2">
      <c r="A60" s="8">
        <v>28.5</v>
      </c>
      <c r="B60" s="8">
        <v>70.449999999999989</v>
      </c>
      <c r="C60" s="9">
        <v>24.270554246826329</v>
      </c>
    </row>
    <row r="61" spans="1:3" x14ac:dyDescent="0.2">
      <c r="A61" s="7">
        <v>28.7</v>
      </c>
      <c r="B61" s="7">
        <v>69.040000000000006</v>
      </c>
      <c r="C61" s="7">
        <v>28.350624332459471</v>
      </c>
    </row>
    <row r="62" spans="1:3" x14ac:dyDescent="0.2">
      <c r="A62" s="7">
        <v>29</v>
      </c>
      <c r="B62" s="7">
        <v>72.349999999999994</v>
      </c>
      <c r="C62" s="7">
        <v>23.827910447761191</v>
      </c>
    </row>
    <row r="63" spans="1:3" x14ac:dyDescent="0.2">
      <c r="A63" s="7">
        <v>29.2</v>
      </c>
      <c r="B63" s="7">
        <v>73.899999999999991</v>
      </c>
      <c r="C63" s="7">
        <v>27.578504858538682</v>
      </c>
    </row>
    <row r="64" spans="1:3" x14ac:dyDescent="0.2">
      <c r="A64" s="3">
        <v>29.285714285714285</v>
      </c>
      <c r="B64" s="3">
        <v>73.349999999999994</v>
      </c>
      <c r="C64" s="3">
        <v>27.141374828278554</v>
      </c>
    </row>
    <row r="65" spans="1:3" x14ac:dyDescent="0.2">
      <c r="A65" s="7">
        <v>29.333333333333332</v>
      </c>
      <c r="B65" s="7">
        <v>71.100000000000009</v>
      </c>
      <c r="C65" s="7">
        <v>25.887215548721887</v>
      </c>
    </row>
    <row r="66" spans="1:3" x14ac:dyDescent="0.2">
      <c r="A66" s="6">
        <v>29.6</v>
      </c>
      <c r="B66" s="6">
        <v>68.06</v>
      </c>
      <c r="C66" s="6">
        <v>25.316563380281686</v>
      </c>
    </row>
    <row r="67" spans="1:3" x14ac:dyDescent="0.2">
      <c r="A67" s="6">
        <v>29.75</v>
      </c>
      <c r="B67" s="6">
        <v>73.824999999999989</v>
      </c>
      <c r="C67" s="6">
        <v>26.79330130597015</v>
      </c>
    </row>
    <row r="68" spans="1:3" x14ac:dyDescent="0.2">
      <c r="A68" s="7">
        <v>29.785714285714285</v>
      </c>
      <c r="B68" s="7">
        <v>69.285714285714292</v>
      </c>
      <c r="C68" s="7">
        <v>26.754019527465157</v>
      </c>
    </row>
    <row r="69" spans="1:3" x14ac:dyDescent="0.2">
      <c r="A69" s="6">
        <v>29.8</v>
      </c>
      <c r="B69" s="6">
        <v>69.48</v>
      </c>
      <c r="C69" s="6">
        <v>27.748289283003242</v>
      </c>
    </row>
    <row r="70" spans="1:3" x14ac:dyDescent="0.2">
      <c r="A70" s="6">
        <v>29.888888888888889</v>
      </c>
      <c r="B70" s="6">
        <v>67.711111111111109</v>
      </c>
      <c r="C70" s="6">
        <v>29.393976408912195</v>
      </c>
    </row>
    <row r="71" spans="1:3" x14ac:dyDescent="0.2">
      <c r="A71" s="6">
        <v>29.9</v>
      </c>
      <c r="B71" s="6">
        <v>67.849999999999994</v>
      </c>
      <c r="C71" s="6">
        <v>27.43940556731911</v>
      </c>
    </row>
    <row r="72" spans="1:3" x14ac:dyDescent="0.2">
      <c r="A72" s="7">
        <v>30</v>
      </c>
      <c r="B72" s="7">
        <v>73.333333333333329</v>
      </c>
      <c r="C72" s="7">
        <v>27.039465621010397</v>
      </c>
    </row>
    <row r="73" spans="1:3" x14ac:dyDescent="0.2">
      <c r="A73" s="7">
        <v>30</v>
      </c>
      <c r="B73" s="7">
        <v>68.349999999999994</v>
      </c>
      <c r="C73" s="7">
        <v>26.033322784810132</v>
      </c>
    </row>
    <row r="74" spans="1:3" x14ac:dyDescent="0.2">
      <c r="A74" s="7">
        <v>30</v>
      </c>
      <c r="B74" s="7">
        <v>70.75</v>
      </c>
      <c r="C74" s="7">
        <v>26.79839466631806</v>
      </c>
    </row>
    <row r="75" spans="1:3" x14ac:dyDescent="0.2">
      <c r="A75" s="6">
        <v>30</v>
      </c>
      <c r="B75" s="6">
        <v>62</v>
      </c>
      <c r="C75" s="6">
        <v>25.460742835111173</v>
      </c>
    </row>
    <row r="76" spans="1:3" x14ac:dyDescent="0.2">
      <c r="A76" s="6">
        <v>30</v>
      </c>
      <c r="B76" s="6">
        <v>56.9</v>
      </c>
      <c r="C76" s="6">
        <v>29.42</v>
      </c>
    </row>
    <row r="77" spans="1:3" x14ac:dyDescent="0.2">
      <c r="A77" s="6">
        <v>30.333333333333332</v>
      </c>
      <c r="B77" s="6">
        <v>70</v>
      </c>
      <c r="C77" s="6">
        <v>28.829069604534162</v>
      </c>
    </row>
    <row r="78" spans="1:3" x14ac:dyDescent="0.2">
      <c r="A78" s="7">
        <v>30.35</v>
      </c>
      <c r="B78" s="7">
        <v>67.525000000000006</v>
      </c>
      <c r="C78" s="7">
        <v>27.892785839379535</v>
      </c>
    </row>
    <row r="79" spans="1:3" x14ac:dyDescent="0.2">
      <c r="A79" s="3">
        <v>30.5</v>
      </c>
      <c r="B79" s="3">
        <v>75.900000000000006</v>
      </c>
      <c r="C79" s="3">
        <v>28.054100620612473</v>
      </c>
    </row>
    <row r="80" spans="1:3" x14ac:dyDescent="0.2">
      <c r="A80" s="7">
        <v>30.5</v>
      </c>
      <c r="B80" s="7">
        <v>69.749999999999986</v>
      </c>
      <c r="C80" s="7">
        <v>26.172400269239404</v>
      </c>
    </row>
    <row r="81" spans="1:3" x14ac:dyDescent="0.2">
      <c r="A81" s="7">
        <v>30.555555555555557</v>
      </c>
      <c r="B81" s="7">
        <v>68.466666666666669</v>
      </c>
      <c r="C81" s="7">
        <v>27.7209878945093</v>
      </c>
    </row>
    <row r="82" spans="1:3" x14ac:dyDescent="0.2">
      <c r="A82" s="3">
        <v>30.666666666666668</v>
      </c>
      <c r="B82" s="3">
        <v>70.577777777777797</v>
      </c>
      <c r="C82" s="3">
        <v>26.649733574706964</v>
      </c>
    </row>
    <row r="83" spans="1:3" x14ac:dyDescent="0.2">
      <c r="A83" s="3">
        <v>30.7</v>
      </c>
      <c r="B83" s="3">
        <v>80.400000000000006</v>
      </c>
      <c r="C83" s="3">
        <v>26.80319895580832</v>
      </c>
    </row>
    <row r="84" spans="1:3" x14ac:dyDescent="0.2">
      <c r="A84" s="8">
        <v>30.833333333333332</v>
      </c>
      <c r="B84" s="8">
        <v>72.833333333333329</v>
      </c>
      <c r="C84" s="9">
        <v>24.006467926404778</v>
      </c>
    </row>
    <row r="85" spans="1:3" x14ac:dyDescent="0.2">
      <c r="A85" s="6">
        <v>30.944444444444443</v>
      </c>
      <c r="B85" s="6">
        <v>74.938888888888883</v>
      </c>
      <c r="C85" s="6">
        <v>25.340490812873337</v>
      </c>
    </row>
    <row r="86" spans="1:3" x14ac:dyDescent="0.2">
      <c r="A86" s="3">
        <v>31</v>
      </c>
      <c r="B86" s="3">
        <v>77.325000000000003</v>
      </c>
      <c r="C86" s="3">
        <v>26.085352855379785</v>
      </c>
    </row>
    <row r="87" spans="1:3" x14ac:dyDescent="0.2">
      <c r="A87" s="7">
        <v>31</v>
      </c>
      <c r="B87" s="7">
        <v>73</v>
      </c>
      <c r="C87" s="7">
        <v>27.798992486851986</v>
      </c>
    </row>
    <row r="88" spans="1:3" x14ac:dyDescent="0.2">
      <c r="A88" s="6">
        <v>31</v>
      </c>
      <c r="B88" s="6">
        <v>72.816666666666663</v>
      </c>
      <c r="C88" s="6">
        <v>27.100204358645659</v>
      </c>
    </row>
    <row r="89" spans="1:3" x14ac:dyDescent="0.2">
      <c r="A89" s="7">
        <v>31.181818181818183</v>
      </c>
      <c r="B89" s="7">
        <v>72.590909090909108</v>
      </c>
      <c r="C89" s="7">
        <v>27.575050281660751</v>
      </c>
    </row>
    <row r="90" spans="1:3" x14ac:dyDescent="0.2">
      <c r="A90" s="7">
        <v>31.333333333333332</v>
      </c>
      <c r="B90" s="7">
        <v>69.277777777777771</v>
      </c>
      <c r="C90" s="7">
        <v>24.787976845151956</v>
      </c>
    </row>
    <row r="91" spans="1:3" x14ac:dyDescent="0.2">
      <c r="A91" s="6">
        <v>31.5</v>
      </c>
      <c r="B91" s="6">
        <v>66.75</v>
      </c>
      <c r="C91" s="6">
        <v>32.136571575872139</v>
      </c>
    </row>
    <row r="92" spans="1:3" x14ac:dyDescent="0.2">
      <c r="A92" s="3">
        <v>31.6</v>
      </c>
      <c r="B92" s="3">
        <v>71.2</v>
      </c>
      <c r="C92" s="3">
        <v>28.738090878642407</v>
      </c>
    </row>
    <row r="93" spans="1:3" x14ac:dyDescent="0.2">
      <c r="A93" s="3">
        <v>31.666666666666668</v>
      </c>
      <c r="B93" s="3">
        <v>66.044444444444437</v>
      </c>
      <c r="C93" s="3">
        <v>29.572039361751045</v>
      </c>
    </row>
    <row r="94" spans="1:3" x14ac:dyDescent="0.2">
      <c r="A94" s="6">
        <v>31.714285714285715</v>
      </c>
      <c r="B94" s="6">
        <v>65.599999999999994</v>
      </c>
      <c r="C94" s="6">
        <v>27.178137855236301</v>
      </c>
    </row>
    <row r="95" spans="1:3" x14ac:dyDescent="0.2">
      <c r="A95" s="3">
        <v>32</v>
      </c>
      <c r="B95" s="3">
        <v>75.966666666666669</v>
      </c>
      <c r="C95" s="3">
        <v>25.87829525152797</v>
      </c>
    </row>
    <row r="96" spans="1:3" x14ac:dyDescent="0.2">
      <c r="A96" s="3">
        <v>32</v>
      </c>
      <c r="B96" s="3">
        <v>72.223076923076917</v>
      </c>
      <c r="C96" s="3">
        <v>26.32103787327021</v>
      </c>
    </row>
    <row r="97" spans="1:3" x14ac:dyDescent="0.2">
      <c r="A97" s="6">
        <v>32</v>
      </c>
      <c r="B97" s="6">
        <v>66.850000000000009</v>
      </c>
      <c r="C97" s="6">
        <v>28.257793472966391</v>
      </c>
    </row>
    <row r="98" spans="1:3" x14ac:dyDescent="0.2">
      <c r="A98" s="8">
        <v>32</v>
      </c>
      <c r="B98" s="8">
        <v>69.983333333333334</v>
      </c>
      <c r="C98" s="9">
        <v>25.057433344908745</v>
      </c>
    </row>
    <row r="99" spans="1:3" x14ac:dyDescent="0.2">
      <c r="A99" s="3">
        <v>32.18181818181818</v>
      </c>
      <c r="B99" s="3">
        <v>64.372727272727261</v>
      </c>
      <c r="C99" s="3">
        <v>29.637322807884814</v>
      </c>
    </row>
    <row r="100" spans="1:3" x14ac:dyDescent="0.2">
      <c r="A100" s="3">
        <v>32.352941176470587</v>
      </c>
      <c r="B100" s="3">
        <v>71.199999999999989</v>
      </c>
      <c r="C100" s="3">
        <v>28.89601869937756</v>
      </c>
    </row>
    <row r="101" spans="1:3" x14ac:dyDescent="0.2">
      <c r="A101" s="3">
        <v>32.375</v>
      </c>
      <c r="B101" s="3">
        <v>72.943749999999994</v>
      </c>
      <c r="C101" s="3">
        <v>28.795678870989214</v>
      </c>
    </row>
    <row r="102" spans="1:3" x14ac:dyDescent="0.2">
      <c r="A102" s="3">
        <v>32.4</v>
      </c>
      <c r="B102" s="3">
        <v>74.460000000000008</v>
      </c>
      <c r="C102" s="3">
        <v>26.192447266024985</v>
      </c>
    </row>
    <row r="103" spans="1:3" x14ac:dyDescent="0.2">
      <c r="A103" s="8">
        <v>32.5</v>
      </c>
      <c r="B103" s="8">
        <v>76.3</v>
      </c>
      <c r="C103" s="9">
        <v>31.026247712019526</v>
      </c>
    </row>
    <row r="104" spans="1:3" x14ac:dyDescent="0.2">
      <c r="A104" s="7">
        <v>32.571428571428569</v>
      </c>
      <c r="B104" s="7">
        <v>74.614285714285714</v>
      </c>
      <c r="C104" s="7">
        <v>29.326910378443007</v>
      </c>
    </row>
    <row r="105" spans="1:3" x14ac:dyDescent="0.2">
      <c r="A105" s="7">
        <v>32.571428571428569</v>
      </c>
      <c r="B105" s="7">
        <v>70.357142857142861</v>
      </c>
      <c r="C105" s="7">
        <v>27.573700508023549</v>
      </c>
    </row>
    <row r="106" spans="1:3" x14ac:dyDescent="0.2">
      <c r="A106" s="7">
        <v>32.857142857142854</v>
      </c>
      <c r="B106" s="7">
        <v>70.185714285714283</v>
      </c>
      <c r="C106" s="7">
        <v>25.85303070527824</v>
      </c>
    </row>
    <row r="107" spans="1:3" x14ac:dyDescent="0.2">
      <c r="A107" s="3">
        <v>33</v>
      </c>
      <c r="B107" s="3">
        <v>69.84</v>
      </c>
      <c r="C107" s="3">
        <v>30.441432746289323</v>
      </c>
    </row>
    <row r="108" spans="1:3" x14ac:dyDescent="0.2">
      <c r="A108" s="3">
        <v>33</v>
      </c>
      <c r="B108" s="3">
        <v>56.55</v>
      </c>
      <c r="C108" s="3">
        <v>29.150388035569925</v>
      </c>
    </row>
    <row r="109" spans="1:3" x14ac:dyDescent="0.2">
      <c r="A109" s="6">
        <v>33</v>
      </c>
      <c r="B109" s="6">
        <v>64.75</v>
      </c>
      <c r="C109" s="6">
        <v>33.872293309303899</v>
      </c>
    </row>
    <row r="110" spans="1:3" x14ac:dyDescent="0.2">
      <c r="A110" s="8">
        <v>33</v>
      </c>
      <c r="B110" s="8">
        <v>68</v>
      </c>
      <c r="C110" s="9">
        <v>32.479999999999997</v>
      </c>
    </row>
    <row r="111" spans="1:3" x14ac:dyDescent="0.2">
      <c r="A111" s="8">
        <v>33</v>
      </c>
      <c r="B111" s="8">
        <v>72.760000000000005</v>
      </c>
      <c r="C111" s="9">
        <v>24.788382771651911</v>
      </c>
    </row>
    <row r="112" spans="1:3" x14ac:dyDescent="0.2">
      <c r="A112" s="8">
        <v>33</v>
      </c>
      <c r="B112" s="8">
        <v>67.65384615384616</v>
      </c>
      <c r="C112" s="9">
        <v>26.28215353544223</v>
      </c>
    </row>
    <row r="113" spans="1:3" x14ac:dyDescent="0.2">
      <c r="A113" s="7">
        <v>33.294117647058826</v>
      </c>
      <c r="B113" s="7">
        <v>70.588235294117638</v>
      </c>
      <c r="C113" s="7">
        <v>28.396561879125805</v>
      </c>
    </row>
    <row r="114" spans="1:3" x14ac:dyDescent="0.2">
      <c r="A114" s="8">
        <v>33.333333333333336</v>
      </c>
      <c r="B114" s="8">
        <v>70.13333333333334</v>
      </c>
      <c r="C114" s="9">
        <v>29.71931605871886</v>
      </c>
    </row>
    <row r="115" spans="1:3" x14ac:dyDescent="0.2">
      <c r="A115" s="3">
        <v>33.4</v>
      </c>
      <c r="B115" s="3">
        <v>63.280000000000008</v>
      </c>
      <c r="C115" s="3">
        <v>28.12569596900655</v>
      </c>
    </row>
    <row r="116" spans="1:3" x14ac:dyDescent="0.2">
      <c r="A116" s="3">
        <v>33.5</v>
      </c>
      <c r="B116" s="3">
        <v>64.75</v>
      </c>
      <c r="C116" s="3">
        <v>28.67949453869393</v>
      </c>
    </row>
    <row r="117" spans="1:3" x14ac:dyDescent="0.2">
      <c r="A117" s="7">
        <v>33.5</v>
      </c>
      <c r="B117" s="7">
        <v>69.349999999999994</v>
      </c>
      <c r="C117" s="7">
        <v>24.51295860566449</v>
      </c>
    </row>
    <row r="118" spans="1:3" x14ac:dyDescent="0.2">
      <c r="A118" s="8">
        <v>33.625</v>
      </c>
      <c r="B118" s="8">
        <v>71.987499999999997</v>
      </c>
      <c r="C118" s="9">
        <v>27.508698410181189</v>
      </c>
    </row>
    <row r="119" spans="1:3" x14ac:dyDescent="0.2">
      <c r="A119" s="3">
        <v>33.666666666666664</v>
      </c>
      <c r="B119" s="3">
        <v>79.266666666666666</v>
      </c>
      <c r="C119" s="3">
        <v>26.707983946627749</v>
      </c>
    </row>
    <row r="120" spans="1:3" x14ac:dyDescent="0.2">
      <c r="A120" s="7">
        <v>33.666666666666664</v>
      </c>
      <c r="B120" s="7">
        <v>65.066666666666663</v>
      </c>
      <c r="C120" s="7">
        <v>28.170660283922089</v>
      </c>
    </row>
    <row r="121" spans="1:3" x14ac:dyDescent="0.2">
      <c r="A121" s="6">
        <v>33.666666666666664</v>
      </c>
      <c r="B121" s="6">
        <v>66.533333333333346</v>
      </c>
      <c r="C121" s="6">
        <v>33.533440709617182</v>
      </c>
    </row>
    <row r="122" spans="1:3" x14ac:dyDescent="0.2">
      <c r="A122" s="8">
        <v>33.666666666666664</v>
      </c>
      <c r="B122" s="8">
        <v>71.533333333333346</v>
      </c>
      <c r="C122" s="9">
        <v>29.674428720210738</v>
      </c>
    </row>
    <row r="123" spans="1:3" x14ac:dyDescent="0.2">
      <c r="A123" s="3">
        <v>33.705882352941174</v>
      </c>
      <c r="B123" s="3">
        <v>71.494117647058815</v>
      </c>
      <c r="C123" s="3">
        <v>26.319447386175451</v>
      </c>
    </row>
    <row r="124" spans="1:3" x14ac:dyDescent="0.2">
      <c r="A124" s="8">
        <v>33.799999999999997</v>
      </c>
      <c r="B124" s="8">
        <v>63.719999999999992</v>
      </c>
      <c r="C124" s="9">
        <v>28.928860203535081</v>
      </c>
    </row>
    <row r="125" spans="1:3" x14ac:dyDescent="0.2">
      <c r="A125" s="3">
        <v>34</v>
      </c>
      <c r="B125" s="3">
        <v>62.7</v>
      </c>
      <c r="C125" s="3">
        <v>28.76</v>
      </c>
    </row>
    <row r="126" spans="1:3" x14ac:dyDescent="0.2">
      <c r="A126" s="8">
        <v>34</v>
      </c>
      <c r="B126" s="8">
        <v>65.099999999999994</v>
      </c>
      <c r="C126" s="9">
        <v>29.09</v>
      </c>
    </row>
    <row r="127" spans="1:3" x14ac:dyDescent="0.2">
      <c r="A127" s="8">
        <v>34</v>
      </c>
      <c r="B127" s="8">
        <v>67.099999999999994</v>
      </c>
      <c r="C127" s="9">
        <v>29.57</v>
      </c>
    </row>
    <row r="128" spans="1:3" x14ac:dyDescent="0.2">
      <c r="A128" s="8">
        <v>34</v>
      </c>
      <c r="B128" s="8">
        <v>69.3</v>
      </c>
      <c r="C128" s="9">
        <v>27.990415871121716</v>
      </c>
    </row>
    <row r="129" spans="1:3" x14ac:dyDescent="0.2">
      <c r="A129" s="8">
        <v>34</v>
      </c>
      <c r="B129" s="8">
        <v>60.7</v>
      </c>
      <c r="C129" s="9">
        <v>24.95</v>
      </c>
    </row>
    <row r="130" spans="1:3" x14ac:dyDescent="0.2">
      <c r="A130" s="7">
        <v>34.125</v>
      </c>
      <c r="B130" s="7">
        <v>64.862499999999997</v>
      </c>
      <c r="C130" s="7">
        <v>29.269173651904165</v>
      </c>
    </row>
    <row r="131" spans="1:3" x14ac:dyDescent="0.2">
      <c r="A131" s="8">
        <v>34.200000000000003</v>
      </c>
      <c r="B131" s="8">
        <v>64.640000000000015</v>
      </c>
      <c r="C131" s="9">
        <v>29.428845297118627</v>
      </c>
    </row>
    <row r="132" spans="1:3" x14ac:dyDescent="0.2">
      <c r="A132" s="7">
        <v>34.25</v>
      </c>
      <c r="B132" s="7">
        <v>69.249999999999986</v>
      </c>
      <c r="C132" s="7">
        <v>28.060761521580098</v>
      </c>
    </row>
    <row r="133" spans="1:3" x14ac:dyDescent="0.2">
      <c r="A133" s="8">
        <v>34.285714285714285</v>
      </c>
      <c r="B133" s="8">
        <v>71.185714285714297</v>
      </c>
      <c r="C133" s="9">
        <v>28.417766949935338</v>
      </c>
    </row>
    <row r="134" spans="1:3" x14ac:dyDescent="0.2">
      <c r="A134" s="3">
        <v>34.333333333333336</v>
      </c>
      <c r="B134" s="3">
        <v>72.349999999999994</v>
      </c>
      <c r="C134" s="3">
        <v>27.763321192499671</v>
      </c>
    </row>
    <row r="135" spans="1:3" x14ac:dyDescent="0.2">
      <c r="A135" s="6">
        <v>34.363636363636367</v>
      </c>
      <c r="B135" s="6">
        <v>69.609090909090909</v>
      </c>
      <c r="C135" s="6">
        <v>28.852186569777619</v>
      </c>
    </row>
    <row r="136" spans="1:3" x14ac:dyDescent="0.2">
      <c r="A136" s="3">
        <v>34.5</v>
      </c>
      <c r="B136" s="3">
        <v>75.75</v>
      </c>
      <c r="C136" s="3">
        <v>25.339209982076383</v>
      </c>
    </row>
    <row r="137" spans="1:3" x14ac:dyDescent="0.2">
      <c r="A137" s="7">
        <v>34.5</v>
      </c>
      <c r="B137" s="7">
        <v>76.75</v>
      </c>
      <c r="C137" s="7">
        <v>31.630774374460746</v>
      </c>
    </row>
    <row r="138" spans="1:3" x14ac:dyDescent="0.2">
      <c r="A138" s="7">
        <v>34.5</v>
      </c>
      <c r="B138" s="7">
        <v>66.55</v>
      </c>
      <c r="C138" s="7">
        <v>27.816477994428965</v>
      </c>
    </row>
    <row r="139" spans="1:3" x14ac:dyDescent="0.2">
      <c r="A139" s="6">
        <v>34.5</v>
      </c>
      <c r="B139" s="6">
        <v>70.63333333333334</v>
      </c>
      <c r="C139" s="6">
        <v>30.633456071735196</v>
      </c>
    </row>
    <row r="140" spans="1:3" x14ac:dyDescent="0.2">
      <c r="A140" s="8">
        <v>34.5</v>
      </c>
      <c r="B140" s="8">
        <v>71.7</v>
      </c>
      <c r="C140" s="9">
        <v>31.336007723427734</v>
      </c>
    </row>
    <row r="141" spans="1:3" x14ac:dyDescent="0.2">
      <c r="A141" s="6">
        <v>34.583333333333336</v>
      </c>
      <c r="B141" s="6">
        <v>71.316666666666677</v>
      </c>
      <c r="C141" s="6">
        <v>28.336184353798473</v>
      </c>
    </row>
    <row r="142" spans="1:3" x14ac:dyDescent="0.2">
      <c r="A142" s="3">
        <v>34.666666666666664</v>
      </c>
      <c r="B142" s="3">
        <v>74.62222222222222</v>
      </c>
      <c r="C142" s="3">
        <v>30.761725022104336</v>
      </c>
    </row>
    <row r="143" spans="1:3" x14ac:dyDescent="0.2">
      <c r="A143" s="7">
        <v>34.700000000000003</v>
      </c>
      <c r="B143" s="7">
        <v>75.69</v>
      </c>
      <c r="C143" s="7">
        <v>30.423336468471419</v>
      </c>
    </row>
    <row r="144" spans="1:3" x14ac:dyDescent="0.2">
      <c r="A144" s="3">
        <v>34.714285714285715</v>
      </c>
      <c r="B144" s="3">
        <v>70.928571428571431</v>
      </c>
      <c r="C144" s="3">
        <v>31.011762799740762</v>
      </c>
    </row>
    <row r="145" spans="1:3" x14ac:dyDescent="0.2">
      <c r="A145" s="7">
        <v>34.75</v>
      </c>
      <c r="B145" s="7">
        <v>72.8</v>
      </c>
      <c r="C145" s="7">
        <v>26.809047524160608</v>
      </c>
    </row>
    <row r="146" spans="1:3" x14ac:dyDescent="0.2">
      <c r="A146" s="6">
        <v>34.833333333333336</v>
      </c>
      <c r="B146" s="6">
        <v>68.899999999999991</v>
      </c>
      <c r="C146" s="6">
        <v>31.125424257821006</v>
      </c>
    </row>
    <row r="147" spans="1:3" x14ac:dyDescent="0.2">
      <c r="A147" s="3">
        <v>34.941176470588232</v>
      </c>
      <c r="B147" s="3">
        <v>68.911764705882348</v>
      </c>
      <c r="C147" s="3">
        <v>30.66388536970457</v>
      </c>
    </row>
    <row r="148" spans="1:3" x14ac:dyDescent="0.2">
      <c r="A148" s="3">
        <v>35</v>
      </c>
      <c r="B148" s="3">
        <v>71.55714285714285</v>
      </c>
      <c r="C148" s="3">
        <v>28.84084744796122</v>
      </c>
    </row>
    <row r="149" spans="1:3" x14ac:dyDescent="0.2">
      <c r="A149" s="3">
        <v>35</v>
      </c>
      <c r="B149" s="3">
        <v>73.471428571428575</v>
      </c>
      <c r="C149" s="3">
        <v>31.044182680432737</v>
      </c>
    </row>
    <row r="150" spans="1:3" x14ac:dyDescent="0.2">
      <c r="A150" s="3">
        <v>35</v>
      </c>
      <c r="B150" s="3">
        <v>68.38000000000001</v>
      </c>
      <c r="C150" s="3">
        <v>29.8304040348964</v>
      </c>
    </row>
    <row r="151" spans="1:3" x14ac:dyDescent="0.2">
      <c r="A151" s="7">
        <v>35</v>
      </c>
      <c r="B151" s="7">
        <v>77.057142857142864</v>
      </c>
      <c r="C151" s="7">
        <v>27.134010649126921</v>
      </c>
    </row>
    <row r="152" spans="1:3" x14ac:dyDescent="0.2">
      <c r="A152" s="7">
        <v>35</v>
      </c>
      <c r="B152" s="7">
        <v>67.61666666666666</v>
      </c>
      <c r="C152" s="7">
        <v>30.068126220886551</v>
      </c>
    </row>
    <row r="153" spans="1:3" x14ac:dyDescent="0.2">
      <c r="A153" s="7">
        <v>35</v>
      </c>
      <c r="B153" s="7">
        <v>74.72</v>
      </c>
      <c r="C153" s="7">
        <v>24.908953746717835</v>
      </c>
    </row>
    <row r="154" spans="1:3" x14ac:dyDescent="0.2">
      <c r="A154" s="7">
        <v>35</v>
      </c>
      <c r="B154" s="7">
        <v>72.95</v>
      </c>
      <c r="C154" s="7">
        <v>25.925338235294117</v>
      </c>
    </row>
    <row r="155" spans="1:3" x14ac:dyDescent="0.2">
      <c r="A155" s="6">
        <v>35</v>
      </c>
      <c r="B155" s="6">
        <v>69.666666666666671</v>
      </c>
      <c r="C155" s="6">
        <v>32.38923204336696</v>
      </c>
    </row>
    <row r="156" spans="1:3" x14ac:dyDescent="0.2">
      <c r="A156" s="7">
        <v>35.111111111111114</v>
      </c>
      <c r="B156" s="7">
        <v>72.911111111111097</v>
      </c>
      <c r="C156" s="7">
        <v>29.776718402314202</v>
      </c>
    </row>
    <row r="157" spans="1:3" x14ac:dyDescent="0.2">
      <c r="A157" s="7">
        <v>35.111111111111114</v>
      </c>
      <c r="B157" s="7">
        <v>70.166666666666686</v>
      </c>
      <c r="C157" s="7">
        <v>27.523846280357439</v>
      </c>
    </row>
    <row r="158" spans="1:3" x14ac:dyDescent="0.2">
      <c r="A158" s="3">
        <v>35.142857142857146</v>
      </c>
      <c r="B158" s="3">
        <v>73.971428571428561</v>
      </c>
      <c r="C158" s="3">
        <v>28.434181085167136</v>
      </c>
    </row>
    <row r="159" spans="1:3" x14ac:dyDescent="0.2">
      <c r="A159" s="6">
        <v>35.166666666666664</v>
      </c>
      <c r="B159" s="6">
        <v>65.266666666666666</v>
      </c>
      <c r="C159" s="6">
        <v>29.633339025615268</v>
      </c>
    </row>
    <row r="160" spans="1:3" x14ac:dyDescent="0.2">
      <c r="A160" s="3">
        <v>35.200000000000003</v>
      </c>
      <c r="B160" s="3">
        <v>69.44</v>
      </c>
      <c r="C160" s="3">
        <v>29.712317808678169</v>
      </c>
    </row>
    <row r="161" spans="1:3" x14ac:dyDescent="0.2">
      <c r="A161" s="3">
        <v>35.200000000000003</v>
      </c>
      <c r="B161" s="3">
        <v>73.66</v>
      </c>
      <c r="C161" s="3">
        <v>28.937016114430559</v>
      </c>
    </row>
    <row r="162" spans="1:3" x14ac:dyDescent="0.2">
      <c r="A162" s="3">
        <v>35.200000000000003</v>
      </c>
      <c r="B162" s="3">
        <v>66.940000000000012</v>
      </c>
      <c r="C162" s="3">
        <v>32.565095417599245</v>
      </c>
    </row>
    <row r="163" spans="1:3" x14ac:dyDescent="0.2">
      <c r="A163" s="8">
        <v>35.25</v>
      </c>
      <c r="B163" s="8">
        <v>75.5</v>
      </c>
      <c r="C163" s="9">
        <v>25.093164875371595</v>
      </c>
    </row>
    <row r="164" spans="1:3" x14ac:dyDescent="0.2">
      <c r="A164" s="3">
        <v>35.285714285714285</v>
      </c>
      <c r="B164" s="3">
        <v>71.871428571428581</v>
      </c>
      <c r="C164" s="3">
        <v>28.873146923947356</v>
      </c>
    </row>
    <row r="165" spans="1:3" x14ac:dyDescent="0.2">
      <c r="A165" s="3">
        <v>35.333333333333336</v>
      </c>
      <c r="B165" s="3">
        <v>73.11666666666666</v>
      </c>
      <c r="C165" s="3">
        <v>27.510615719406047</v>
      </c>
    </row>
    <row r="166" spans="1:3" x14ac:dyDescent="0.2">
      <c r="A166" s="6">
        <v>35.333333333333336</v>
      </c>
      <c r="B166" s="6">
        <v>70.946666666666673</v>
      </c>
      <c r="C166" s="6">
        <v>31.5067871150797</v>
      </c>
    </row>
    <row r="167" spans="1:3" x14ac:dyDescent="0.2">
      <c r="A167" s="3">
        <v>35.4</v>
      </c>
      <c r="B167" s="3">
        <v>72.58</v>
      </c>
      <c r="C167" s="3">
        <v>30.102098314275608</v>
      </c>
    </row>
    <row r="168" spans="1:3" x14ac:dyDescent="0.2">
      <c r="A168" s="3">
        <v>35.428571428571431</v>
      </c>
      <c r="B168" s="3">
        <v>72.599999999999994</v>
      </c>
      <c r="C168" s="3">
        <v>27.747513896875599</v>
      </c>
    </row>
    <row r="169" spans="1:3" x14ac:dyDescent="0.2">
      <c r="A169" s="3">
        <v>35.428571428571431</v>
      </c>
      <c r="B169" s="3">
        <v>76.099999999999994</v>
      </c>
      <c r="C169" s="3">
        <v>25.773047214911099</v>
      </c>
    </row>
    <row r="170" spans="1:3" x14ac:dyDescent="0.2">
      <c r="A170" s="7">
        <v>35.432432432432435</v>
      </c>
      <c r="B170" s="7">
        <v>70.048648648648637</v>
      </c>
      <c r="C170" s="7">
        <v>28.886949161887955</v>
      </c>
    </row>
    <row r="171" spans="1:3" x14ac:dyDescent="0.2">
      <c r="A171" s="3">
        <v>35.454545454545453</v>
      </c>
      <c r="B171" s="3">
        <v>70.454545454545453</v>
      </c>
      <c r="C171" s="3">
        <v>28.696827570722949</v>
      </c>
    </row>
    <row r="172" spans="1:3" x14ac:dyDescent="0.2">
      <c r="A172" s="3">
        <v>35.571428571428569</v>
      </c>
      <c r="B172" s="3">
        <v>71.7</v>
      </c>
      <c r="C172" s="3">
        <v>30.406915840468677</v>
      </c>
    </row>
    <row r="173" spans="1:3" x14ac:dyDescent="0.2">
      <c r="A173" s="3">
        <v>35.625</v>
      </c>
      <c r="B173" s="3">
        <v>70.1875</v>
      </c>
      <c r="C173" s="3">
        <v>29.720263779950582</v>
      </c>
    </row>
    <row r="174" spans="1:3" x14ac:dyDescent="0.2">
      <c r="A174" s="7">
        <v>35.631578947368418</v>
      </c>
      <c r="B174" s="7">
        <v>73.084210526315772</v>
      </c>
      <c r="C174" s="7">
        <v>30.181658200075116</v>
      </c>
    </row>
    <row r="175" spans="1:3" x14ac:dyDescent="0.2">
      <c r="A175" s="7">
        <v>35.700000000000003</v>
      </c>
      <c r="B175" s="7">
        <v>72.419999999999987</v>
      </c>
      <c r="C175" s="7">
        <v>29.142795555977592</v>
      </c>
    </row>
    <row r="176" spans="1:3" x14ac:dyDescent="0.2">
      <c r="A176" s="3">
        <v>35.714285714285715</v>
      </c>
      <c r="B176" s="3">
        <v>70.742857142857147</v>
      </c>
      <c r="C176" s="3">
        <v>30.088241454150843</v>
      </c>
    </row>
    <row r="177" spans="1:3" x14ac:dyDescent="0.2">
      <c r="A177" s="6">
        <v>35.75</v>
      </c>
      <c r="B177" s="6">
        <v>66.099999999999994</v>
      </c>
      <c r="C177" s="6">
        <v>31.046080766243854</v>
      </c>
    </row>
    <row r="178" spans="1:3" x14ac:dyDescent="0.2">
      <c r="A178" s="6">
        <v>35.75</v>
      </c>
      <c r="B178" s="6">
        <v>74.712500000000006</v>
      </c>
      <c r="C178" s="6">
        <v>27.36298410790598</v>
      </c>
    </row>
    <row r="179" spans="1:3" x14ac:dyDescent="0.2">
      <c r="A179" s="7">
        <v>35.799999999999997</v>
      </c>
      <c r="B179" s="7">
        <v>73.08</v>
      </c>
      <c r="C179" s="7">
        <v>31.307383795309171</v>
      </c>
    </row>
    <row r="180" spans="1:3" x14ac:dyDescent="0.2">
      <c r="A180" s="7">
        <v>35.833333333333336</v>
      </c>
      <c r="B180" s="7">
        <v>72.033333333333331</v>
      </c>
      <c r="C180" s="7">
        <v>30.166356154875814</v>
      </c>
    </row>
    <row r="181" spans="1:3" x14ac:dyDescent="0.2">
      <c r="A181" s="7">
        <v>35.888888888888886</v>
      </c>
      <c r="B181" s="7">
        <v>70.444444444444443</v>
      </c>
      <c r="C181" s="7">
        <v>32.164008909910905</v>
      </c>
    </row>
    <row r="182" spans="1:3" x14ac:dyDescent="0.2">
      <c r="A182" s="7">
        <v>35.954545454545453</v>
      </c>
      <c r="B182" s="7">
        <v>73.350000000000009</v>
      </c>
      <c r="C182" s="7">
        <v>30.206859197552948</v>
      </c>
    </row>
    <row r="183" spans="1:3" x14ac:dyDescent="0.2">
      <c r="A183" s="3">
        <v>36</v>
      </c>
      <c r="B183" s="3">
        <v>72.442857142857136</v>
      </c>
      <c r="C183" s="3">
        <v>32.437622925724085</v>
      </c>
    </row>
    <row r="184" spans="1:3" x14ac:dyDescent="0.2">
      <c r="A184" s="3">
        <v>36</v>
      </c>
      <c r="B184" s="3">
        <v>71.900000000000006</v>
      </c>
      <c r="C184" s="3">
        <v>29.96</v>
      </c>
    </row>
    <row r="185" spans="1:3" x14ac:dyDescent="0.2">
      <c r="A185" s="3">
        <v>36</v>
      </c>
      <c r="B185" s="3">
        <v>70.7</v>
      </c>
      <c r="C185" s="3">
        <v>28.35</v>
      </c>
    </row>
    <row r="186" spans="1:3" x14ac:dyDescent="0.2">
      <c r="A186" s="3">
        <v>36</v>
      </c>
      <c r="B186" s="3">
        <v>73.5</v>
      </c>
      <c r="C186" s="3">
        <v>30.408556634304201</v>
      </c>
    </row>
    <row r="187" spans="1:3" x14ac:dyDescent="0.2">
      <c r="A187" s="3">
        <v>36</v>
      </c>
      <c r="B187" s="3">
        <v>71.912500000000009</v>
      </c>
      <c r="C187" s="3">
        <v>28.408303704352395</v>
      </c>
    </row>
    <row r="188" spans="1:3" x14ac:dyDescent="0.2">
      <c r="A188" s="7">
        <v>36</v>
      </c>
      <c r="B188" s="7">
        <v>74.655555555555551</v>
      </c>
      <c r="C188" s="7">
        <v>30.658685376661733</v>
      </c>
    </row>
    <row r="189" spans="1:3" x14ac:dyDescent="0.2">
      <c r="A189" s="7">
        <v>36</v>
      </c>
      <c r="B189" s="7">
        <v>65.650000000000006</v>
      </c>
      <c r="C189" s="7">
        <v>28.969999999999995</v>
      </c>
    </row>
    <row r="190" spans="1:3" x14ac:dyDescent="0.2">
      <c r="A190" s="7">
        <v>36</v>
      </c>
      <c r="B190" s="7">
        <v>75.328571428571422</v>
      </c>
      <c r="C190" s="7">
        <v>24.993281828931806</v>
      </c>
    </row>
    <row r="191" spans="1:3" x14ac:dyDescent="0.2">
      <c r="A191" s="3">
        <v>36.125</v>
      </c>
      <c r="B191" s="3">
        <v>69.712499999999991</v>
      </c>
      <c r="C191" s="3">
        <v>30.290736304638287</v>
      </c>
    </row>
    <row r="192" spans="1:3" x14ac:dyDescent="0.2">
      <c r="A192" s="3">
        <v>36.166666666666664</v>
      </c>
      <c r="B192" s="3">
        <v>70.783333333333331</v>
      </c>
      <c r="C192" s="3">
        <v>28.04862406953627</v>
      </c>
    </row>
    <row r="193" spans="1:3" x14ac:dyDescent="0.2">
      <c r="A193" s="7">
        <v>36.272727272727273</v>
      </c>
      <c r="B193" s="7">
        <v>73.672727272727272</v>
      </c>
      <c r="C193" s="7">
        <v>29.25314111810858</v>
      </c>
    </row>
    <row r="194" spans="1:3" x14ac:dyDescent="0.2">
      <c r="A194" s="7">
        <v>36.285714285714285</v>
      </c>
      <c r="B194" s="7">
        <v>71.614285714285714</v>
      </c>
      <c r="C194" s="7">
        <v>31.749609147609149</v>
      </c>
    </row>
    <row r="195" spans="1:3" x14ac:dyDescent="0.2">
      <c r="A195" s="3">
        <v>36.333333333333336</v>
      </c>
      <c r="B195" s="3">
        <v>74.722222222222229</v>
      </c>
      <c r="C195" s="3">
        <v>31.545646675060091</v>
      </c>
    </row>
    <row r="196" spans="1:3" x14ac:dyDescent="0.2">
      <c r="A196" s="7">
        <v>36.333333333333336</v>
      </c>
      <c r="B196" s="7">
        <v>72.899999999999991</v>
      </c>
      <c r="C196" s="7">
        <v>26.842666894664841</v>
      </c>
    </row>
    <row r="197" spans="1:3" x14ac:dyDescent="0.2">
      <c r="A197" s="6">
        <v>36.375</v>
      </c>
      <c r="B197" s="6">
        <v>65.9375</v>
      </c>
      <c r="C197" s="6">
        <v>31.504660484741439</v>
      </c>
    </row>
    <row r="198" spans="1:3" x14ac:dyDescent="0.2">
      <c r="A198" s="6">
        <v>36.5</v>
      </c>
      <c r="B198" s="6">
        <v>71.95</v>
      </c>
      <c r="C198" s="6">
        <v>29.434867024848892</v>
      </c>
    </row>
    <row r="199" spans="1:3" x14ac:dyDescent="0.2">
      <c r="A199" s="6">
        <v>36.5</v>
      </c>
      <c r="B199" s="6">
        <v>62.9</v>
      </c>
      <c r="C199" s="6">
        <v>29.089738317757014</v>
      </c>
    </row>
    <row r="200" spans="1:3" x14ac:dyDescent="0.2">
      <c r="A200" s="3">
        <v>36.533333333333331</v>
      </c>
      <c r="B200" s="3">
        <v>68.180000000000007</v>
      </c>
      <c r="C200" s="3">
        <v>28.374468017732738</v>
      </c>
    </row>
    <row r="201" spans="1:3" x14ac:dyDescent="0.2">
      <c r="A201" s="3">
        <v>36.75</v>
      </c>
      <c r="B201" s="3">
        <v>73.774999999999991</v>
      </c>
      <c r="C201" s="3">
        <v>28.759476636629465</v>
      </c>
    </row>
    <row r="202" spans="1:3" x14ac:dyDescent="0.2">
      <c r="A202" s="7">
        <v>36.75</v>
      </c>
      <c r="B202" s="7">
        <v>73.958333333333329</v>
      </c>
      <c r="C202" s="7">
        <v>31.894628106405325</v>
      </c>
    </row>
    <row r="203" spans="1:3" x14ac:dyDescent="0.2">
      <c r="A203" s="7">
        <v>36.777777777777779</v>
      </c>
      <c r="B203" s="7">
        <v>75.24444444444444</v>
      </c>
      <c r="C203" s="7">
        <v>30.23789193895789</v>
      </c>
    </row>
    <row r="204" spans="1:3" x14ac:dyDescent="0.2">
      <c r="A204" s="7">
        <v>36.9</v>
      </c>
      <c r="B204" s="7">
        <v>67.434999999999974</v>
      </c>
      <c r="C204" s="7">
        <v>33.329438267740322</v>
      </c>
    </row>
    <row r="205" spans="1:3" x14ac:dyDescent="0.2">
      <c r="A205" s="3">
        <v>37</v>
      </c>
      <c r="B205" s="3">
        <v>70.699999999999989</v>
      </c>
      <c r="C205" s="3">
        <v>34.592100400369574</v>
      </c>
    </row>
    <row r="206" spans="1:3" x14ac:dyDescent="0.2">
      <c r="A206" s="3">
        <v>37</v>
      </c>
      <c r="B206" s="3">
        <v>68.320000000000007</v>
      </c>
      <c r="C206" s="3">
        <v>32.166338236129249</v>
      </c>
    </row>
    <row r="207" spans="1:3" x14ac:dyDescent="0.2">
      <c r="A207" s="3">
        <v>37</v>
      </c>
      <c r="B207" s="3">
        <v>61</v>
      </c>
      <c r="C207" s="3">
        <v>29.99</v>
      </c>
    </row>
    <row r="208" spans="1:3" x14ac:dyDescent="0.2">
      <c r="A208" s="3">
        <v>37</v>
      </c>
      <c r="B208" s="3">
        <v>68.433333333333323</v>
      </c>
      <c r="C208" s="3">
        <v>26.732114996280156</v>
      </c>
    </row>
    <row r="209" spans="1:3" x14ac:dyDescent="0.2">
      <c r="A209" s="7">
        <v>37</v>
      </c>
      <c r="B209" s="7">
        <v>69</v>
      </c>
      <c r="C209" s="7">
        <v>31.26</v>
      </c>
    </row>
    <row r="210" spans="1:3" x14ac:dyDescent="0.2">
      <c r="A210" s="7">
        <v>37</v>
      </c>
      <c r="B210" s="7">
        <v>76.650000000000006</v>
      </c>
      <c r="C210" s="7">
        <v>26.240086037185566</v>
      </c>
    </row>
    <row r="211" spans="1:3" x14ac:dyDescent="0.2">
      <c r="A211" s="7">
        <v>37</v>
      </c>
      <c r="B211" s="7">
        <v>74.650000000000006</v>
      </c>
      <c r="C211" s="7">
        <v>31.493903731173837</v>
      </c>
    </row>
    <row r="212" spans="1:3" x14ac:dyDescent="0.2">
      <c r="A212" s="7">
        <v>37</v>
      </c>
      <c r="B212" s="7">
        <v>67.400000000000006</v>
      </c>
      <c r="C212" s="7">
        <v>30.44</v>
      </c>
    </row>
    <row r="213" spans="1:3" x14ac:dyDescent="0.2">
      <c r="A213" s="7">
        <v>37</v>
      </c>
      <c r="B213" s="7">
        <v>76.174999999999997</v>
      </c>
      <c r="C213" s="7">
        <v>27.877581233864507</v>
      </c>
    </row>
    <row r="214" spans="1:3" x14ac:dyDescent="0.2">
      <c r="A214" s="7">
        <v>37</v>
      </c>
      <c r="B214" s="7">
        <v>70.25</v>
      </c>
      <c r="C214" s="7">
        <v>26.82191489361702</v>
      </c>
    </row>
    <row r="215" spans="1:3" x14ac:dyDescent="0.2">
      <c r="A215" s="6">
        <v>37</v>
      </c>
      <c r="B215" s="6">
        <v>67.599999999999994</v>
      </c>
      <c r="C215" s="6">
        <v>25.553889343145272</v>
      </c>
    </row>
    <row r="216" spans="1:3" x14ac:dyDescent="0.2">
      <c r="A216" s="7">
        <v>37.166666666666664</v>
      </c>
      <c r="B216" s="7">
        <v>72.38333333333334</v>
      </c>
      <c r="C216" s="7">
        <v>32.340501690090726</v>
      </c>
    </row>
    <row r="217" spans="1:3" x14ac:dyDescent="0.2">
      <c r="A217" s="6">
        <v>37.200000000000003</v>
      </c>
      <c r="B217" s="6">
        <v>72.5</v>
      </c>
      <c r="C217" s="6">
        <v>29.485476169956048</v>
      </c>
    </row>
    <row r="218" spans="1:3" x14ac:dyDescent="0.2">
      <c r="A218" s="7">
        <v>37.5</v>
      </c>
      <c r="B218" s="7">
        <v>68.424999999999997</v>
      </c>
      <c r="C218" s="7">
        <v>30.530269449505827</v>
      </c>
    </row>
    <row r="219" spans="1:3" x14ac:dyDescent="0.2">
      <c r="A219" s="3">
        <v>37.666666666666664</v>
      </c>
      <c r="B219" s="3">
        <v>72.433333333333323</v>
      </c>
      <c r="C219" s="3">
        <v>31.997408101219179</v>
      </c>
    </row>
    <row r="220" spans="1:3" x14ac:dyDescent="0.2">
      <c r="A220" s="3">
        <v>38</v>
      </c>
      <c r="B220" s="3">
        <v>67</v>
      </c>
      <c r="C220" s="3">
        <v>29.84</v>
      </c>
    </row>
    <row r="221" spans="1:3" x14ac:dyDescent="0.2">
      <c r="A221" s="3">
        <v>38</v>
      </c>
      <c r="B221" s="3">
        <v>65.599999999999994</v>
      </c>
      <c r="C221" s="3">
        <v>28.450403560830861</v>
      </c>
    </row>
    <row r="222" spans="1:3" x14ac:dyDescent="0.2">
      <c r="A222" s="3">
        <v>38.117647058823529</v>
      </c>
      <c r="B222" s="3">
        <v>77.696296296296296</v>
      </c>
      <c r="C222" s="3">
        <v>25.854515274141082</v>
      </c>
    </row>
    <row r="223" spans="1:3" x14ac:dyDescent="0.2">
      <c r="A223" s="3">
        <v>38.142857142857146</v>
      </c>
      <c r="B223" s="3">
        <v>70.428571428571431</v>
      </c>
      <c r="C223" s="3">
        <v>33.429525147358561</v>
      </c>
    </row>
    <row r="224" spans="1:3" x14ac:dyDescent="0.2">
      <c r="A224" s="7">
        <v>40</v>
      </c>
      <c r="B224" s="7">
        <v>65.599999999999994</v>
      </c>
      <c r="C224" s="7">
        <v>29.73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65B53-5268-5740-8C6D-B6CD43D63D14}">
  <dimension ref="A1:N224"/>
  <sheetViews>
    <sheetView tabSelected="1" topLeftCell="B1" zoomScale="109" workbookViewId="0">
      <selection activeCell="G20" sqref="G20"/>
    </sheetView>
  </sheetViews>
  <sheetFormatPr baseColWidth="10" defaultRowHeight="15" x14ac:dyDescent="0.2"/>
  <cols>
    <col min="5" max="7" width="20.6640625" customWidth="1"/>
  </cols>
  <sheetData>
    <row r="1" spans="1:14" ht="52" thickBot="1" x14ac:dyDescent="0.25">
      <c r="A1" s="15" t="s">
        <v>0</v>
      </c>
      <c r="B1" s="16" t="s">
        <v>1</v>
      </c>
      <c r="C1" s="17" t="s">
        <v>12</v>
      </c>
      <c r="E1" s="44" t="s">
        <v>45</v>
      </c>
      <c r="F1" s="45"/>
      <c r="G1" s="45"/>
      <c r="I1" s="46" t="s">
        <v>54</v>
      </c>
      <c r="J1" s="46"/>
      <c r="K1" s="46"/>
      <c r="L1" s="46"/>
      <c r="M1" s="47"/>
      <c r="N1" s="47"/>
    </row>
    <row r="2" spans="1:14" x14ac:dyDescent="0.2">
      <c r="A2" s="18">
        <v>19.75</v>
      </c>
      <c r="B2" s="19">
        <v>67.08</v>
      </c>
      <c r="C2" s="20">
        <v>22.99</v>
      </c>
      <c r="E2" s="37" t="s">
        <v>19</v>
      </c>
      <c r="F2" s="37" t="s">
        <v>20</v>
      </c>
      <c r="G2" s="37" t="s">
        <v>21</v>
      </c>
      <c r="I2" s="42" t="s">
        <v>44</v>
      </c>
      <c r="J2" s="42"/>
      <c r="K2" s="42" t="s">
        <v>46</v>
      </c>
      <c r="L2" s="42"/>
      <c r="M2" s="42" t="s">
        <v>47</v>
      </c>
      <c r="N2" s="42"/>
    </row>
    <row r="3" spans="1:14" x14ac:dyDescent="0.2">
      <c r="A3" s="21">
        <v>20</v>
      </c>
      <c r="B3" s="22">
        <v>63.4</v>
      </c>
      <c r="C3" s="22">
        <v>25.32</v>
      </c>
      <c r="E3" s="10">
        <f>MEDIAN(A2:A224)</f>
        <v>33.29</v>
      </c>
      <c r="F3" s="10">
        <f>MEDIAN(B2:B225)</f>
        <v>70.7</v>
      </c>
      <c r="G3" s="10">
        <f>MEDIAN(C2:C224)</f>
        <v>27.8</v>
      </c>
      <c r="I3" s="40" t="s">
        <v>28</v>
      </c>
      <c r="J3" s="40">
        <v>31.682152466367707</v>
      </c>
      <c r="K3" s="40" t="s">
        <v>28</v>
      </c>
      <c r="L3" s="40">
        <v>70.50910313901349</v>
      </c>
      <c r="M3" s="40" t="s">
        <v>28</v>
      </c>
      <c r="N3" s="40">
        <v>27.71704035874442</v>
      </c>
    </row>
    <row r="4" spans="1:14" x14ac:dyDescent="0.2">
      <c r="A4" s="23">
        <v>20.18</v>
      </c>
      <c r="B4" s="24">
        <v>69.540000000000006</v>
      </c>
      <c r="C4" s="25">
        <v>23.16</v>
      </c>
      <c r="E4" s="38" t="s">
        <v>22</v>
      </c>
      <c r="F4" s="38" t="s">
        <v>23</v>
      </c>
      <c r="G4" s="38" t="s">
        <v>24</v>
      </c>
      <c r="I4" s="40" t="s">
        <v>29</v>
      </c>
      <c r="J4" s="40">
        <v>0.31881932733054769</v>
      </c>
      <c r="K4" s="40" t="s">
        <v>29</v>
      </c>
      <c r="L4" s="40">
        <v>0.25828748160394982</v>
      </c>
      <c r="M4" s="40" t="s">
        <v>29</v>
      </c>
      <c r="N4" s="40">
        <v>0.18243576147935742</v>
      </c>
    </row>
    <row r="5" spans="1:14" x14ac:dyDescent="0.2">
      <c r="A5" s="23">
        <v>20.329999999999998</v>
      </c>
      <c r="B5" s="24">
        <v>66.83</v>
      </c>
      <c r="C5" s="25">
        <v>22.72</v>
      </c>
      <c r="E5" s="10">
        <f>AVERAGE(A2:A224)</f>
        <v>31.682152466367707</v>
      </c>
      <c r="F5" s="10">
        <f>AVERAGE(B2:B224)</f>
        <v>70.50910313901349</v>
      </c>
      <c r="G5" s="10">
        <f>AVERAGE(C2:C224)</f>
        <v>27.71704035874442</v>
      </c>
      <c r="I5" s="40" t="s">
        <v>30</v>
      </c>
      <c r="J5" s="40">
        <v>33.29</v>
      </c>
      <c r="K5" s="40" t="s">
        <v>30</v>
      </c>
      <c r="L5" s="40">
        <v>70.7</v>
      </c>
      <c r="M5" s="40" t="s">
        <v>30</v>
      </c>
      <c r="N5" s="40">
        <v>27.8</v>
      </c>
    </row>
    <row r="6" spans="1:14" x14ac:dyDescent="0.2">
      <c r="A6" s="21">
        <v>21</v>
      </c>
      <c r="B6" s="22">
        <v>67.599999999999994</v>
      </c>
      <c r="C6" s="22">
        <v>22.86</v>
      </c>
      <c r="E6" s="39" t="s">
        <v>25</v>
      </c>
      <c r="F6" s="39" t="s">
        <v>26</v>
      </c>
      <c r="G6" s="39" t="s">
        <v>27</v>
      </c>
      <c r="I6" s="40" t="s">
        <v>31</v>
      </c>
      <c r="J6" s="40">
        <v>37</v>
      </c>
      <c r="K6" s="40" t="s">
        <v>31</v>
      </c>
      <c r="L6" s="40">
        <v>73.599999999999994</v>
      </c>
      <c r="M6" s="40" t="s">
        <v>31</v>
      </c>
      <c r="N6" s="40">
        <v>26.03</v>
      </c>
    </row>
    <row r="7" spans="1:14" x14ac:dyDescent="0.2">
      <c r="A7" s="26">
        <v>21.2</v>
      </c>
      <c r="B7" s="27">
        <v>68.84</v>
      </c>
      <c r="C7" s="27">
        <v>22.67</v>
      </c>
      <c r="E7">
        <f>_xlfn.VAR.S(A2:A224)</f>
        <v>22.667005255929144</v>
      </c>
      <c r="F7">
        <f>_xlfn.VAR.S(B2:B224)</f>
        <v>14.876870363188289</v>
      </c>
      <c r="G7">
        <f>_xlfn.VAR.S(C2:C224)</f>
        <v>7.4220659758413179</v>
      </c>
      <c r="I7" s="40" t="s">
        <v>32</v>
      </c>
      <c r="J7" s="40">
        <v>4.7609878445475102</v>
      </c>
      <c r="K7" s="40" t="s">
        <v>32</v>
      </c>
      <c r="L7" s="40">
        <v>3.8570546227903342</v>
      </c>
      <c r="M7" s="40" t="s">
        <v>32</v>
      </c>
      <c r="N7" s="40">
        <v>2.7243468897776797</v>
      </c>
    </row>
    <row r="8" spans="1:14" x14ac:dyDescent="0.2">
      <c r="A8" s="18">
        <v>21.4</v>
      </c>
      <c r="B8" s="20">
        <v>73.36</v>
      </c>
      <c r="C8" s="20">
        <v>22.13</v>
      </c>
      <c r="E8" s="14" t="s">
        <v>48</v>
      </c>
      <c r="F8" s="14" t="s">
        <v>49</v>
      </c>
      <c r="G8" s="14" t="s">
        <v>50</v>
      </c>
      <c r="I8" s="40" t="s">
        <v>33</v>
      </c>
      <c r="J8" s="40">
        <v>22.667005255929144</v>
      </c>
      <c r="K8" s="40" t="s">
        <v>33</v>
      </c>
      <c r="L8" s="40">
        <v>14.876870363188289</v>
      </c>
      <c r="M8" s="40" t="s">
        <v>33</v>
      </c>
      <c r="N8" s="40">
        <v>7.4220659758413179</v>
      </c>
    </row>
    <row r="9" spans="1:14" x14ac:dyDescent="0.2">
      <c r="A9" s="26">
        <v>22</v>
      </c>
      <c r="B9" s="27">
        <v>73.599999999999994</v>
      </c>
      <c r="C9" s="27">
        <v>23.76</v>
      </c>
      <c r="E9">
        <f>_xlfn.MODE.SNGL(A2:A224)</f>
        <v>37</v>
      </c>
      <c r="F9">
        <f t="shared" ref="F9:G9" si="0">_xlfn.MODE.SNGL(B2:B224)</f>
        <v>73.599999999999994</v>
      </c>
      <c r="G9">
        <f t="shared" si="0"/>
        <v>26.03</v>
      </c>
      <c r="I9" s="40" t="s">
        <v>34</v>
      </c>
      <c r="J9" s="40">
        <v>-0.45259084438104935</v>
      </c>
      <c r="K9" s="40" t="s">
        <v>34</v>
      </c>
      <c r="L9" s="40">
        <v>0.80913590853790529</v>
      </c>
      <c r="M9" s="40" t="s">
        <v>34</v>
      </c>
      <c r="N9" s="40">
        <v>-0.59378118882805486</v>
      </c>
    </row>
    <row r="10" spans="1:14" x14ac:dyDescent="0.2">
      <c r="A10" s="26">
        <v>22</v>
      </c>
      <c r="B10" s="27">
        <v>72.5</v>
      </c>
      <c r="C10" s="27">
        <v>24.26</v>
      </c>
      <c r="E10" s="43" t="s">
        <v>51</v>
      </c>
      <c r="F10" s="43" t="s">
        <v>52</v>
      </c>
      <c r="G10" s="43" t="s">
        <v>53</v>
      </c>
      <c r="I10" s="40" t="s">
        <v>35</v>
      </c>
      <c r="J10" s="40">
        <v>-0.76253261087973223</v>
      </c>
      <c r="K10" s="40" t="s">
        <v>35</v>
      </c>
      <c r="L10" s="40">
        <v>-0.57603286438894197</v>
      </c>
      <c r="M10" s="40" t="s">
        <v>35</v>
      </c>
      <c r="N10" s="40">
        <v>-2.2805180099050803E-3</v>
      </c>
    </row>
    <row r="11" spans="1:14" x14ac:dyDescent="0.2">
      <c r="A11" s="26">
        <v>22</v>
      </c>
      <c r="B11" s="27">
        <v>76.849999999999994</v>
      </c>
      <c r="C11" s="27">
        <v>23.55</v>
      </c>
      <c r="E11">
        <f>_xlfn.STDEV.S(A2:A224)</f>
        <v>4.7609878445475102</v>
      </c>
      <c r="F11">
        <f t="shared" ref="F11:G11" si="1">_xlfn.STDEV.S(B2:B224)</f>
        <v>3.8570546227903342</v>
      </c>
      <c r="G11">
        <f t="shared" si="1"/>
        <v>2.7243468897776797</v>
      </c>
      <c r="I11" s="40" t="s">
        <v>36</v>
      </c>
      <c r="J11" s="40">
        <v>20.25</v>
      </c>
      <c r="K11" s="40" t="s">
        <v>36</v>
      </c>
      <c r="L11" s="40">
        <v>23.850000000000009</v>
      </c>
      <c r="M11" s="40" t="s">
        <v>36</v>
      </c>
      <c r="N11" s="40">
        <v>12.720000000000002</v>
      </c>
    </row>
    <row r="12" spans="1:14" x14ac:dyDescent="0.2">
      <c r="A12" s="21">
        <v>22</v>
      </c>
      <c r="B12" s="22">
        <v>69.349999999999994</v>
      </c>
      <c r="C12" s="22">
        <v>24.86</v>
      </c>
      <c r="I12" s="40" t="s">
        <v>37</v>
      </c>
      <c r="J12" s="40">
        <v>19.75</v>
      </c>
      <c r="K12" s="40" t="s">
        <v>37</v>
      </c>
      <c r="L12" s="40">
        <v>56.55</v>
      </c>
      <c r="M12" s="40" t="s">
        <v>37</v>
      </c>
      <c r="N12" s="40">
        <v>21.87</v>
      </c>
    </row>
    <row r="13" spans="1:14" x14ac:dyDescent="0.2">
      <c r="A13" s="28">
        <v>22</v>
      </c>
      <c r="B13" s="29">
        <v>66.8</v>
      </c>
      <c r="C13" s="30">
        <v>22.3</v>
      </c>
      <c r="I13" s="40" t="s">
        <v>38</v>
      </c>
      <c r="J13" s="40">
        <v>40</v>
      </c>
      <c r="K13" s="40" t="s">
        <v>38</v>
      </c>
      <c r="L13" s="40">
        <v>80.400000000000006</v>
      </c>
      <c r="M13" s="40" t="s">
        <v>38</v>
      </c>
      <c r="N13" s="40">
        <v>34.590000000000003</v>
      </c>
    </row>
    <row r="14" spans="1:14" x14ac:dyDescent="0.2">
      <c r="A14" s="18">
        <v>22.33</v>
      </c>
      <c r="B14" s="20">
        <v>73.27</v>
      </c>
      <c r="C14" s="20">
        <v>23.19</v>
      </c>
      <c r="I14" s="40" t="s">
        <v>39</v>
      </c>
      <c r="J14" s="40">
        <v>7065.119999999999</v>
      </c>
      <c r="K14" s="40" t="s">
        <v>39</v>
      </c>
      <c r="L14" s="40">
        <v>15723.530000000008</v>
      </c>
      <c r="M14" s="40" t="s">
        <v>39</v>
      </c>
      <c r="N14" s="40">
        <v>6180.900000000006</v>
      </c>
    </row>
    <row r="15" spans="1:14" x14ac:dyDescent="0.2">
      <c r="A15" s="21">
        <v>22.5</v>
      </c>
      <c r="B15" s="22">
        <v>75.55</v>
      </c>
      <c r="C15" s="22">
        <v>23.9</v>
      </c>
      <c r="I15" s="40" t="s">
        <v>40</v>
      </c>
      <c r="J15" s="40">
        <v>223</v>
      </c>
      <c r="K15" s="40" t="s">
        <v>40</v>
      </c>
      <c r="L15" s="40">
        <v>223</v>
      </c>
      <c r="M15" s="40" t="s">
        <v>40</v>
      </c>
      <c r="N15" s="40">
        <v>223</v>
      </c>
    </row>
    <row r="16" spans="1:14" x14ac:dyDescent="0.2">
      <c r="A16" s="18">
        <v>22.5</v>
      </c>
      <c r="B16" s="20">
        <v>72.73</v>
      </c>
      <c r="C16" s="20">
        <v>22.18</v>
      </c>
      <c r="I16" s="40" t="s">
        <v>41</v>
      </c>
      <c r="J16" s="40">
        <v>40</v>
      </c>
      <c r="K16" s="40" t="s">
        <v>41</v>
      </c>
      <c r="L16" s="40">
        <v>80.400000000000006</v>
      </c>
      <c r="M16" s="40" t="s">
        <v>41</v>
      </c>
      <c r="N16" s="40">
        <v>34.590000000000003</v>
      </c>
    </row>
    <row r="17" spans="1:14" x14ac:dyDescent="0.2">
      <c r="A17" s="21">
        <v>22.6</v>
      </c>
      <c r="B17" s="22">
        <v>74.44</v>
      </c>
      <c r="C17" s="22">
        <v>23.19</v>
      </c>
      <c r="I17" s="40" t="s">
        <v>42</v>
      </c>
      <c r="J17" s="40">
        <v>19.75</v>
      </c>
      <c r="K17" s="40" t="s">
        <v>42</v>
      </c>
      <c r="L17" s="40">
        <v>56.55</v>
      </c>
      <c r="M17" s="40" t="s">
        <v>42</v>
      </c>
      <c r="N17" s="40">
        <v>21.87</v>
      </c>
    </row>
    <row r="18" spans="1:14" ht="16" thickBot="1" x14ac:dyDescent="0.25">
      <c r="A18" s="26">
        <v>23</v>
      </c>
      <c r="B18" s="27">
        <v>62.75</v>
      </c>
      <c r="C18" s="27">
        <v>23.77</v>
      </c>
      <c r="I18" s="41" t="s">
        <v>43</v>
      </c>
      <c r="J18" s="41">
        <v>0.62829960614138169</v>
      </c>
      <c r="K18" s="41" t="s">
        <v>43</v>
      </c>
      <c r="L18" s="41">
        <v>0.50900905011558251</v>
      </c>
      <c r="M18" s="41" t="s">
        <v>43</v>
      </c>
      <c r="N18" s="41">
        <v>0.35952750431827596</v>
      </c>
    </row>
    <row r="19" spans="1:14" x14ac:dyDescent="0.2">
      <c r="A19" s="26">
        <v>23.14</v>
      </c>
      <c r="B19" s="27">
        <v>74.44</v>
      </c>
      <c r="C19" s="27">
        <v>26.01</v>
      </c>
    </row>
    <row r="20" spans="1:14" x14ac:dyDescent="0.2">
      <c r="A20" s="26">
        <v>23.43</v>
      </c>
      <c r="B20" s="27">
        <v>70.06</v>
      </c>
      <c r="C20" s="27">
        <v>22.25</v>
      </c>
      <c r="I20" t="s">
        <v>55</v>
      </c>
    </row>
    <row r="21" spans="1:14" x14ac:dyDescent="0.2">
      <c r="A21" s="18">
        <v>23.5</v>
      </c>
      <c r="B21" s="20">
        <v>75.900000000000006</v>
      </c>
      <c r="C21" s="20">
        <v>23.38</v>
      </c>
    </row>
    <row r="22" spans="1:14" x14ac:dyDescent="0.2">
      <c r="A22" s="21">
        <v>23.86</v>
      </c>
      <c r="B22" s="22">
        <v>73.23</v>
      </c>
      <c r="C22" s="22">
        <v>25.63</v>
      </c>
    </row>
    <row r="23" spans="1:14" x14ac:dyDescent="0.2">
      <c r="A23" s="26">
        <v>24</v>
      </c>
      <c r="B23" s="27">
        <v>71.2</v>
      </c>
      <c r="C23" s="27">
        <v>21.87</v>
      </c>
    </row>
    <row r="24" spans="1:14" x14ac:dyDescent="0.2">
      <c r="A24" s="26">
        <v>24</v>
      </c>
      <c r="B24" s="27">
        <v>70.930000000000007</v>
      </c>
      <c r="C24" s="27">
        <v>26.64</v>
      </c>
    </row>
    <row r="25" spans="1:14" x14ac:dyDescent="0.2">
      <c r="A25" s="26">
        <v>24</v>
      </c>
      <c r="B25" s="27">
        <v>71.3</v>
      </c>
      <c r="C25" s="27">
        <v>23.36</v>
      </c>
    </row>
    <row r="26" spans="1:14" x14ac:dyDescent="0.2">
      <c r="A26" s="21">
        <v>24</v>
      </c>
      <c r="B26" s="22">
        <v>73.3</v>
      </c>
      <c r="C26" s="22">
        <v>26</v>
      </c>
    </row>
    <row r="27" spans="1:14" x14ac:dyDescent="0.2">
      <c r="A27" s="26">
        <v>24.5</v>
      </c>
      <c r="B27" s="27">
        <v>68.05</v>
      </c>
      <c r="C27" s="27">
        <v>28.73</v>
      </c>
    </row>
    <row r="28" spans="1:14" x14ac:dyDescent="0.2">
      <c r="A28" s="28">
        <v>24.88</v>
      </c>
      <c r="B28" s="29">
        <v>70.31</v>
      </c>
      <c r="C28" s="30">
        <v>26.12</v>
      </c>
    </row>
    <row r="29" spans="1:14" x14ac:dyDescent="0.2">
      <c r="A29" s="26">
        <v>25</v>
      </c>
      <c r="B29" s="27">
        <v>67.400000000000006</v>
      </c>
      <c r="C29" s="27">
        <v>27.7</v>
      </c>
    </row>
    <row r="30" spans="1:14" x14ac:dyDescent="0.2">
      <c r="A30" s="28">
        <v>25.43</v>
      </c>
      <c r="B30" s="29">
        <v>63.81</v>
      </c>
      <c r="C30" s="30">
        <v>25.05</v>
      </c>
    </row>
    <row r="31" spans="1:14" x14ac:dyDescent="0.2">
      <c r="A31" s="26">
        <v>25.5</v>
      </c>
      <c r="B31" s="27">
        <v>73.150000000000006</v>
      </c>
      <c r="C31" s="27">
        <v>24.96</v>
      </c>
    </row>
    <row r="32" spans="1:14" x14ac:dyDescent="0.2">
      <c r="A32" s="21">
        <v>25.77</v>
      </c>
      <c r="B32" s="22">
        <v>70.08</v>
      </c>
      <c r="C32" s="22">
        <v>23.56</v>
      </c>
    </row>
    <row r="33" spans="1:3" x14ac:dyDescent="0.2">
      <c r="A33" s="18">
        <v>25.88</v>
      </c>
      <c r="B33" s="20">
        <v>70.48</v>
      </c>
      <c r="C33" s="20">
        <v>26.69</v>
      </c>
    </row>
    <row r="34" spans="1:3" x14ac:dyDescent="0.2">
      <c r="A34" s="21">
        <v>26.22</v>
      </c>
      <c r="B34" s="22">
        <v>75.489999999999995</v>
      </c>
      <c r="C34" s="22">
        <v>26.76</v>
      </c>
    </row>
    <row r="35" spans="1:3" x14ac:dyDescent="0.2">
      <c r="A35" s="18">
        <v>26.22</v>
      </c>
      <c r="B35" s="20">
        <v>70.5</v>
      </c>
      <c r="C35" s="20">
        <v>25.16</v>
      </c>
    </row>
    <row r="36" spans="1:3" x14ac:dyDescent="0.2">
      <c r="A36" s="18">
        <v>26.33</v>
      </c>
      <c r="B36" s="20">
        <v>72.62</v>
      </c>
      <c r="C36" s="20">
        <v>26.27</v>
      </c>
    </row>
    <row r="37" spans="1:3" x14ac:dyDescent="0.2">
      <c r="A37" s="18">
        <v>26.35</v>
      </c>
      <c r="B37" s="20">
        <v>71.38</v>
      </c>
      <c r="C37" s="20">
        <v>24.9</v>
      </c>
    </row>
    <row r="38" spans="1:3" x14ac:dyDescent="0.2">
      <c r="A38" s="21">
        <v>26.5</v>
      </c>
      <c r="B38" s="22">
        <v>71.489999999999995</v>
      </c>
      <c r="C38" s="22">
        <v>24.6</v>
      </c>
    </row>
    <row r="39" spans="1:3" x14ac:dyDescent="0.2">
      <c r="A39" s="18">
        <v>26.5</v>
      </c>
      <c r="B39" s="20">
        <v>70.3</v>
      </c>
      <c r="C39" s="20">
        <v>26.2</v>
      </c>
    </row>
    <row r="40" spans="1:3" x14ac:dyDescent="0.2">
      <c r="A40" s="26">
        <v>26.53</v>
      </c>
      <c r="B40" s="27">
        <v>74.17</v>
      </c>
      <c r="C40" s="27">
        <v>24.86</v>
      </c>
    </row>
    <row r="41" spans="1:3" x14ac:dyDescent="0.2">
      <c r="A41" s="18">
        <v>26.6</v>
      </c>
      <c r="B41" s="20">
        <v>69.2</v>
      </c>
      <c r="C41" s="20">
        <v>27.04</v>
      </c>
    </row>
    <row r="42" spans="1:3" x14ac:dyDescent="0.2">
      <c r="A42" s="21">
        <v>26.67</v>
      </c>
      <c r="B42" s="22">
        <v>68.47</v>
      </c>
      <c r="C42" s="22">
        <v>26.03</v>
      </c>
    </row>
    <row r="43" spans="1:3" x14ac:dyDescent="0.2">
      <c r="A43" s="21">
        <v>26.88</v>
      </c>
      <c r="B43" s="22">
        <v>68.39</v>
      </c>
      <c r="C43" s="22">
        <v>26.48</v>
      </c>
    </row>
    <row r="44" spans="1:3" x14ac:dyDescent="0.2">
      <c r="A44" s="18">
        <v>27</v>
      </c>
      <c r="B44" s="20">
        <v>66.36</v>
      </c>
      <c r="C44" s="20">
        <v>28.3</v>
      </c>
    </row>
    <row r="45" spans="1:3" x14ac:dyDescent="0.2">
      <c r="A45" s="26">
        <v>27.13</v>
      </c>
      <c r="B45" s="27">
        <v>73.599999999999994</v>
      </c>
      <c r="C45" s="27">
        <v>26.03</v>
      </c>
    </row>
    <row r="46" spans="1:3" x14ac:dyDescent="0.2">
      <c r="A46" s="28">
        <v>27.2</v>
      </c>
      <c r="B46" s="29">
        <v>70.3</v>
      </c>
      <c r="C46" s="30">
        <v>25.06</v>
      </c>
    </row>
    <row r="47" spans="1:3" x14ac:dyDescent="0.2">
      <c r="A47" s="26">
        <v>27.25</v>
      </c>
      <c r="B47" s="27">
        <v>72.150000000000006</v>
      </c>
      <c r="C47" s="27">
        <v>25.82</v>
      </c>
    </row>
    <row r="48" spans="1:3" x14ac:dyDescent="0.2">
      <c r="A48" s="26">
        <v>27.25</v>
      </c>
      <c r="B48" s="27">
        <v>66.33</v>
      </c>
      <c r="C48" s="27">
        <v>23.71</v>
      </c>
    </row>
    <row r="49" spans="1:3" x14ac:dyDescent="0.2">
      <c r="A49" s="21">
        <v>27.25</v>
      </c>
      <c r="B49" s="22">
        <v>71.58</v>
      </c>
      <c r="C49" s="22">
        <v>24.55</v>
      </c>
    </row>
    <row r="50" spans="1:3" x14ac:dyDescent="0.2">
      <c r="A50" s="26">
        <v>27.4</v>
      </c>
      <c r="B50" s="27">
        <v>69.739999999999995</v>
      </c>
      <c r="C50" s="27">
        <v>24.51</v>
      </c>
    </row>
    <row r="51" spans="1:3" x14ac:dyDescent="0.2">
      <c r="A51" s="21">
        <v>27.5</v>
      </c>
      <c r="B51" s="22">
        <v>76.83</v>
      </c>
      <c r="C51" s="22">
        <v>28.01</v>
      </c>
    </row>
    <row r="52" spans="1:3" x14ac:dyDescent="0.2">
      <c r="A52" s="28">
        <v>27.5</v>
      </c>
      <c r="B52" s="29">
        <v>75.95</v>
      </c>
      <c r="C52" s="30">
        <v>23.75</v>
      </c>
    </row>
    <row r="53" spans="1:3" x14ac:dyDescent="0.2">
      <c r="A53" s="28">
        <v>27.67</v>
      </c>
      <c r="B53" s="29">
        <v>68.47</v>
      </c>
      <c r="C53" s="30">
        <v>24.38</v>
      </c>
    </row>
    <row r="54" spans="1:3" x14ac:dyDescent="0.2">
      <c r="A54" s="18">
        <v>27.86</v>
      </c>
      <c r="B54" s="20">
        <v>69.27</v>
      </c>
      <c r="C54" s="20">
        <v>27.37</v>
      </c>
    </row>
    <row r="55" spans="1:3" x14ac:dyDescent="0.2">
      <c r="A55" s="26">
        <v>27.89</v>
      </c>
      <c r="B55" s="27">
        <v>69.48</v>
      </c>
      <c r="C55" s="27">
        <v>26.34</v>
      </c>
    </row>
    <row r="56" spans="1:3" x14ac:dyDescent="0.2">
      <c r="A56" s="26">
        <v>28</v>
      </c>
      <c r="B56" s="27">
        <v>65.08</v>
      </c>
      <c r="C56" s="27">
        <v>26.23</v>
      </c>
    </row>
    <row r="57" spans="1:3" x14ac:dyDescent="0.2">
      <c r="A57" s="21">
        <v>28</v>
      </c>
      <c r="B57" s="22">
        <v>73.599999999999994</v>
      </c>
      <c r="C57" s="22">
        <v>22.67</v>
      </c>
    </row>
    <row r="58" spans="1:3" x14ac:dyDescent="0.2">
      <c r="A58" s="28">
        <v>28.14</v>
      </c>
      <c r="B58" s="29">
        <v>72.73</v>
      </c>
      <c r="C58" s="30">
        <v>24.03</v>
      </c>
    </row>
    <row r="59" spans="1:3" x14ac:dyDescent="0.2">
      <c r="A59" s="26">
        <v>28.5</v>
      </c>
      <c r="B59" s="27">
        <v>61.15</v>
      </c>
      <c r="C59" s="27">
        <v>29.16</v>
      </c>
    </row>
    <row r="60" spans="1:3" x14ac:dyDescent="0.2">
      <c r="A60" s="28">
        <v>28.5</v>
      </c>
      <c r="B60" s="29">
        <v>70.45</v>
      </c>
      <c r="C60" s="30">
        <v>24.27</v>
      </c>
    </row>
    <row r="61" spans="1:3" x14ac:dyDescent="0.2">
      <c r="A61" s="21">
        <v>28.7</v>
      </c>
      <c r="B61" s="22">
        <v>69.040000000000006</v>
      </c>
      <c r="C61" s="22">
        <v>28.35</v>
      </c>
    </row>
    <row r="62" spans="1:3" x14ac:dyDescent="0.2">
      <c r="A62" s="21">
        <v>29</v>
      </c>
      <c r="B62" s="22">
        <v>72.349999999999994</v>
      </c>
      <c r="C62" s="22">
        <v>23.83</v>
      </c>
    </row>
    <row r="63" spans="1:3" x14ac:dyDescent="0.2">
      <c r="A63" s="21">
        <v>29.2</v>
      </c>
      <c r="B63" s="22">
        <v>73.900000000000006</v>
      </c>
      <c r="C63" s="22">
        <v>27.58</v>
      </c>
    </row>
    <row r="64" spans="1:3" x14ac:dyDescent="0.2">
      <c r="A64" s="26">
        <v>29.29</v>
      </c>
      <c r="B64" s="27">
        <v>73.349999999999994</v>
      </c>
      <c r="C64" s="27">
        <v>27.14</v>
      </c>
    </row>
    <row r="65" spans="1:3" x14ac:dyDescent="0.2">
      <c r="A65" s="21">
        <v>29.33</v>
      </c>
      <c r="B65" s="22">
        <v>71.099999999999994</v>
      </c>
      <c r="C65" s="22">
        <v>25.89</v>
      </c>
    </row>
    <row r="66" spans="1:3" x14ac:dyDescent="0.2">
      <c r="A66" s="18">
        <v>29.6</v>
      </c>
      <c r="B66" s="20">
        <v>68.06</v>
      </c>
      <c r="C66" s="20">
        <v>25.32</v>
      </c>
    </row>
    <row r="67" spans="1:3" x14ac:dyDescent="0.2">
      <c r="A67" s="18">
        <v>29.75</v>
      </c>
      <c r="B67" s="20">
        <v>73.83</v>
      </c>
      <c r="C67" s="20">
        <v>26.79</v>
      </c>
    </row>
    <row r="68" spans="1:3" x14ac:dyDescent="0.2">
      <c r="A68" s="21">
        <v>29.79</v>
      </c>
      <c r="B68" s="22">
        <v>69.290000000000006</v>
      </c>
      <c r="C68" s="22">
        <v>26.75</v>
      </c>
    </row>
    <row r="69" spans="1:3" x14ac:dyDescent="0.2">
      <c r="A69" s="18">
        <v>29.8</v>
      </c>
      <c r="B69" s="20">
        <v>69.48</v>
      </c>
      <c r="C69" s="20">
        <v>27.75</v>
      </c>
    </row>
    <row r="70" spans="1:3" x14ac:dyDescent="0.2">
      <c r="A70" s="18">
        <v>29.89</v>
      </c>
      <c r="B70" s="20">
        <v>67.709999999999994</v>
      </c>
      <c r="C70" s="20">
        <v>29.39</v>
      </c>
    </row>
    <row r="71" spans="1:3" x14ac:dyDescent="0.2">
      <c r="A71" s="18">
        <v>29.9</v>
      </c>
      <c r="B71" s="20">
        <v>67.849999999999994</v>
      </c>
      <c r="C71" s="20">
        <v>27.44</v>
      </c>
    </row>
    <row r="72" spans="1:3" x14ac:dyDescent="0.2">
      <c r="A72" s="21">
        <v>30</v>
      </c>
      <c r="B72" s="22">
        <v>73.33</v>
      </c>
      <c r="C72" s="22">
        <v>27.04</v>
      </c>
    </row>
    <row r="73" spans="1:3" x14ac:dyDescent="0.2">
      <c r="A73" s="21">
        <v>30</v>
      </c>
      <c r="B73" s="22">
        <v>68.349999999999994</v>
      </c>
      <c r="C73" s="22">
        <v>26.03</v>
      </c>
    </row>
    <row r="74" spans="1:3" x14ac:dyDescent="0.2">
      <c r="A74" s="21">
        <v>30</v>
      </c>
      <c r="B74" s="22">
        <v>70.75</v>
      </c>
      <c r="C74" s="22">
        <v>26.8</v>
      </c>
    </row>
    <row r="75" spans="1:3" x14ac:dyDescent="0.2">
      <c r="A75" s="18">
        <v>30</v>
      </c>
      <c r="B75" s="20">
        <v>62</v>
      </c>
      <c r="C75" s="20">
        <v>25.46</v>
      </c>
    </row>
    <row r="76" spans="1:3" x14ac:dyDescent="0.2">
      <c r="A76" s="18">
        <v>30</v>
      </c>
      <c r="B76" s="20">
        <v>56.9</v>
      </c>
      <c r="C76" s="20">
        <v>29.42</v>
      </c>
    </row>
    <row r="77" spans="1:3" x14ac:dyDescent="0.2">
      <c r="A77" s="18">
        <v>30.33</v>
      </c>
      <c r="B77" s="20">
        <v>70</v>
      </c>
      <c r="C77" s="20">
        <v>28.83</v>
      </c>
    </row>
    <row r="78" spans="1:3" x14ac:dyDescent="0.2">
      <c r="A78" s="21">
        <v>30.35</v>
      </c>
      <c r="B78" s="22">
        <v>67.53</v>
      </c>
      <c r="C78" s="22">
        <v>27.89</v>
      </c>
    </row>
    <row r="79" spans="1:3" x14ac:dyDescent="0.2">
      <c r="A79" s="26">
        <v>30.5</v>
      </c>
      <c r="B79" s="27">
        <v>75.900000000000006</v>
      </c>
      <c r="C79" s="27">
        <v>28.05</v>
      </c>
    </row>
    <row r="80" spans="1:3" x14ac:dyDescent="0.2">
      <c r="A80" s="21">
        <v>30.5</v>
      </c>
      <c r="B80" s="22">
        <v>69.75</v>
      </c>
      <c r="C80" s="22">
        <v>26.17</v>
      </c>
    </row>
    <row r="81" spans="1:3" x14ac:dyDescent="0.2">
      <c r="A81" s="21">
        <v>30.56</v>
      </c>
      <c r="B81" s="22">
        <v>68.47</v>
      </c>
      <c r="C81" s="22">
        <v>27.72</v>
      </c>
    </row>
    <row r="82" spans="1:3" x14ac:dyDescent="0.2">
      <c r="A82" s="26">
        <v>30.67</v>
      </c>
      <c r="B82" s="27">
        <v>70.58</v>
      </c>
      <c r="C82" s="27">
        <v>26.65</v>
      </c>
    </row>
    <row r="83" spans="1:3" x14ac:dyDescent="0.2">
      <c r="A83" s="26">
        <v>30.7</v>
      </c>
      <c r="B83" s="27">
        <v>80.400000000000006</v>
      </c>
      <c r="C83" s="27">
        <v>26.8</v>
      </c>
    </row>
    <row r="84" spans="1:3" x14ac:dyDescent="0.2">
      <c r="A84" s="28">
        <v>30.83</v>
      </c>
      <c r="B84" s="29">
        <v>72.83</v>
      </c>
      <c r="C84" s="30">
        <v>24.01</v>
      </c>
    </row>
    <row r="85" spans="1:3" x14ac:dyDescent="0.2">
      <c r="A85" s="18">
        <v>30.94</v>
      </c>
      <c r="B85" s="20">
        <v>74.94</v>
      </c>
      <c r="C85" s="20">
        <v>25.34</v>
      </c>
    </row>
    <row r="86" spans="1:3" x14ac:dyDescent="0.2">
      <c r="A86" s="26">
        <v>31</v>
      </c>
      <c r="B86" s="27">
        <v>77.33</v>
      </c>
      <c r="C86" s="27">
        <v>26.09</v>
      </c>
    </row>
    <row r="87" spans="1:3" x14ac:dyDescent="0.2">
      <c r="A87" s="21">
        <v>31</v>
      </c>
      <c r="B87" s="22">
        <v>73</v>
      </c>
      <c r="C87" s="22">
        <v>27.8</v>
      </c>
    </row>
    <row r="88" spans="1:3" x14ac:dyDescent="0.2">
      <c r="A88" s="18">
        <v>31</v>
      </c>
      <c r="B88" s="20">
        <v>72.819999999999993</v>
      </c>
      <c r="C88" s="20">
        <v>27.1</v>
      </c>
    </row>
    <row r="89" spans="1:3" x14ac:dyDescent="0.2">
      <c r="A89" s="21">
        <v>31.18</v>
      </c>
      <c r="B89" s="22">
        <v>72.59</v>
      </c>
      <c r="C89" s="22">
        <v>27.58</v>
      </c>
    </row>
    <row r="90" spans="1:3" x14ac:dyDescent="0.2">
      <c r="A90" s="21">
        <v>31.33</v>
      </c>
      <c r="B90" s="22">
        <v>69.28</v>
      </c>
      <c r="C90" s="22">
        <v>24.79</v>
      </c>
    </row>
    <row r="91" spans="1:3" x14ac:dyDescent="0.2">
      <c r="A91" s="18">
        <v>31.5</v>
      </c>
      <c r="B91" s="20">
        <v>66.75</v>
      </c>
      <c r="C91" s="20">
        <v>32.14</v>
      </c>
    </row>
    <row r="92" spans="1:3" x14ac:dyDescent="0.2">
      <c r="A92" s="26">
        <v>31.6</v>
      </c>
      <c r="B92" s="27">
        <v>71.2</v>
      </c>
      <c r="C92" s="27">
        <v>28.74</v>
      </c>
    </row>
    <row r="93" spans="1:3" x14ac:dyDescent="0.2">
      <c r="A93" s="26">
        <v>31.67</v>
      </c>
      <c r="B93" s="27">
        <v>66.040000000000006</v>
      </c>
      <c r="C93" s="27">
        <v>29.57</v>
      </c>
    </row>
    <row r="94" spans="1:3" x14ac:dyDescent="0.2">
      <c r="A94" s="18">
        <v>31.71</v>
      </c>
      <c r="B94" s="20">
        <v>65.599999999999994</v>
      </c>
      <c r="C94" s="20">
        <v>27.18</v>
      </c>
    </row>
    <row r="95" spans="1:3" x14ac:dyDescent="0.2">
      <c r="A95" s="26">
        <v>32</v>
      </c>
      <c r="B95" s="27">
        <v>75.97</v>
      </c>
      <c r="C95" s="27">
        <v>25.88</v>
      </c>
    </row>
    <row r="96" spans="1:3" x14ac:dyDescent="0.2">
      <c r="A96" s="26">
        <v>32</v>
      </c>
      <c r="B96" s="27">
        <v>72.22</v>
      </c>
      <c r="C96" s="27">
        <v>26.32</v>
      </c>
    </row>
    <row r="97" spans="1:3" x14ac:dyDescent="0.2">
      <c r="A97" s="18">
        <v>32</v>
      </c>
      <c r="B97" s="20">
        <v>66.849999999999994</v>
      </c>
      <c r="C97" s="20">
        <v>28.26</v>
      </c>
    </row>
    <row r="98" spans="1:3" x14ac:dyDescent="0.2">
      <c r="A98" s="28">
        <v>32</v>
      </c>
      <c r="B98" s="29">
        <v>69.98</v>
      </c>
      <c r="C98" s="30">
        <v>25.06</v>
      </c>
    </row>
    <row r="99" spans="1:3" x14ac:dyDescent="0.2">
      <c r="A99" s="26">
        <v>32.18</v>
      </c>
      <c r="B99" s="27">
        <v>64.37</v>
      </c>
      <c r="C99" s="27">
        <v>29.64</v>
      </c>
    </row>
    <row r="100" spans="1:3" x14ac:dyDescent="0.2">
      <c r="A100" s="26">
        <v>32.35</v>
      </c>
      <c r="B100" s="27">
        <v>71.2</v>
      </c>
      <c r="C100" s="27">
        <v>28.9</v>
      </c>
    </row>
    <row r="101" spans="1:3" x14ac:dyDescent="0.2">
      <c r="A101" s="26">
        <v>32.380000000000003</v>
      </c>
      <c r="B101" s="27">
        <v>72.94</v>
      </c>
      <c r="C101" s="27">
        <v>28.8</v>
      </c>
    </row>
    <row r="102" spans="1:3" x14ac:dyDescent="0.2">
      <c r="A102" s="26">
        <v>32.4</v>
      </c>
      <c r="B102" s="27">
        <v>74.459999999999994</v>
      </c>
      <c r="C102" s="27">
        <v>26.19</v>
      </c>
    </row>
    <row r="103" spans="1:3" x14ac:dyDescent="0.2">
      <c r="A103" s="28">
        <v>32.5</v>
      </c>
      <c r="B103" s="29">
        <v>76.3</v>
      </c>
      <c r="C103" s="30">
        <v>31.03</v>
      </c>
    </row>
    <row r="104" spans="1:3" x14ac:dyDescent="0.2">
      <c r="A104" s="21">
        <v>32.57</v>
      </c>
      <c r="B104" s="22">
        <v>74.61</v>
      </c>
      <c r="C104" s="22">
        <v>29.33</v>
      </c>
    </row>
    <row r="105" spans="1:3" x14ac:dyDescent="0.2">
      <c r="A105" s="21">
        <v>32.57</v>
      </c>
      <c r="B105" s="22">
        <v>70.36</v>
      </c>
      <c r="C105" s="22">
        <v>27.57</v>
      </c>
    </row>
    <row r="106" spans="1:3" x14ac:dyDescent="0.2">
      <c r="A106" s="21">
        <v>32.86</v>
      </c>
      <c r="B106" s="22">
        <v>70.19</v>
      </c>
      <c r="C106" s="22">
        <v>25.85</v>
      </c>
    </row>
    <row r="107" spans="1:3" x14ac:dyDescent="0.2">
      <c r="A107" s="26">
        <v>33</v>
      </c>
      <c r="B107" s="27">
        <v>69.84</v>
      </c>
      <c r="C107" s="27">
        <v>30.44</v>
      </c>
    </row>
    <row r="108" spans="1:3" x14ac:dyDescent="0.2">
      <c r="A108" s="26">
        <v>33</v>
      </c>
      <c r="B108" s="27">
        <v>56.55</v>
      </c>
      <c r="C108" s="27">
        <v>29.15</v>
      </c>
    </row>
    <row r="109" spans="1:3" x14ac:dyDescent="0.2">
      <c r="A109" s="18">
        <v>33</v>
      </c>
      <c r="B109" s="20">
        <v>64.75</v>
      </c>
      <c r="C109" s="20">
        <v>33.869999999999997</v>
      </c>
    </row>
    <row r="110" spans="1:3" x14ac:dyDescent="0.2">
      <c r="A110" s="28">
        <v>33</v>
      </c>
      <c r="B110" s="29">
        <v>68</v>
      </c>
      <c r="C110" s="30">
        <v>32.479999999999997</v>
      </c>
    </row>
    <row r="111" spans="1:3" x14ac:dyDescent="0.2">
      <c r="A111" s="28">
        <v>33</v>
      </c>
      <c r="B111" s="29">
        <v>72.760000000000005</v>
      </c>
      <c r="C111" s="30">
        <v>24.79</v>
      </c>
    </row>
    <row r="112" spans="1:3" x14ac:dyDescent="0.2">
      <c r="A112" s="28">
        <v>33</v>
      </c>
      <c r="B112" s="29">
        <v>67.650000000000006</v>
      </c>
      <c r="C112" s="30">
        <v>26.28</v>
      </c>
    </row>
    <row r="113" spans="1:3" x14ac:dyDescent="0.2">
      <c r="A113" s="21">
        <v>33.29</v>
      </c>
      <c r="B113" s="22">
        <v>70.59</v>
      </c>
      <c r="C113" s="22">
        <v>28.4</v>
      </c>
    </row>
    <row r="114" spans="1:3" x14ac:dyDescent="0.2">
      <c r="A114" s="28">
        <v>33.33</v>
      </c>
      <c r="B114" s="29">
        <v>70.13</v>
      </c>
      <c r="C114" s="30">
        <v>29.72</v>
      </c>
    </row>
    <row r="115" spans="1:3" x14ac:dyDescent="0.2">
      <c r="A115" s="26">
        <v>33.4</v>
      </c>
      <c r="B115" s="27">
        <v>63.28</v>
      </c>
      <c r="C115" s="27">
        <v>28.13</v>
      </c>
    </row>
    <row r="116" spans="1:3" x14ac:dyDescent="0.2">
      <c r="A116" s="26">
        <v>33.5</v>
      </c>
      <c r="B116" s="27">
        <v>64.75</v>
      </c>
      <c r="C116" s="27">
        <v>28.68</v>
      </c>
    </row>
    <row r="117" spans="1:3" x14ac:dyDescent="0.2">
      <c r="A117" s="21">
        <v>33.5</v>
      </c>
      <c r="B117" s="22">
        <v>69.349999999999994</v>
      </c>
      <c r="C117" s="22">
        <v>24.51</v>
      </c>
    </row>
    <row r="118" spans="1:3" x14ac:dyDescent="0.2">
      <c r="A118" s="28">
        <v>33.630000000000003</v>
      </c>
      <c r="B118" s="29">
        <v>71.989999999999995</v>
      </c>
      <c r="C118" s="30">
        <v>27.51</v>
      </c>
    </row>
    <row r="119" spans="1:3" x14ac:dyDescent="0.2">
      <c r="A119" s="26">
        <v>33.67</v>
      </c>
      <c r="B119" s="27">
        <v>79.27</v>
      </c>
      <c r="C119" s="27">
        <v>26.71</v>
      </c>
    </row>
    <row r="120" spans="1:3" x14ac:dyDescent="0.2">
      <c r="A120" s="21">
        <v>33.67</v>
      </c>
      <c r="B120" s="22">
        <v>65.069999999999993</v>
      </c>
      <c r="C120" s="22">
        <v>28.17</v>
      </c>
    </row>
    <row r="121" spans="1:3" x14ac:dyDescent="0.2">
      <c r="A121" s="18">
        <v>33.67</v>
      </c>
      <c r="B121" s="20">
        <v>66.53</v>
      </c>
      <c r="C121" s="20">
        <v>33.53</v>
      </c>
    </row>
    <row r="122" spans="1:3" x14ac:dyDescent="0.2">
      <c r="A122" s="28">
        <v>33.67</v>
      </c>
      <c r="B122" s="29">
        <v>71.53</v>
      </c>
      <c r="C122" s="30">
        <v>29.67</v>
      </c>
    </row>
    <row r="123" spans="1:3" x14ac:dyDescent="0.2">
      <c r="A123" s="26">
        <v>33.71</v>
      </c>
      <c r="B123" s="27">
        <v>71.489999999999995</v>
      </c>
      <c r="C123" s="27">
        <v>26.32</v>
      </c>
    </row>
    <row r="124" spans="1:3" x14ac:dyDescent="0.2">
      <c r="A124" s="28">
        <v>33.799999999999997</v>
      </c>
      <c r="B124" s="29">
        <v>63.72</v>
      </c>
      <c r="C124" s="30">
        <v>28.93</v>
      </c>
    </row>
    <row r="125" spans="1:3" x14ac:dyDescent="0.2">
      <c r="A125" s="26">
        <v>34</v>
      </c>
      <c r="B125" s="27">
        <v>62.7</v>
      </c>
      <c r="C125" s="27">
        <v>28.76</v>
      </c>
    </row>
    <row r="126" spans="1:3" x14ac:dyDescent="0.2">
      <c r="A126" s="28">
        <v>34</v>
      </c>
      <c r="B126" s="29">
        <v>65.099999999999994</v>
      </c>
      <c r="C126" s="30">
        <v>29.09</v>
      </c>
    </row>
    <row r="127" spans="1:3" x14ac:dyDescent="0.2">
      <c r="A127" s="28">
        <v>34</v>
      </c>
      <c r="B127" s="29">
        <v>67.099999999999994</v>
      </c>
      <c r="C127" s="30">
        <v>29.57</v>
      </c>
    </row>
    <row r="128" spans="1:3" x14ac:dyDescent="0.2">
      <c r="A128" s="28">
        <v>34</v>
      </c>
      <c r="B128" s="29">
        <v>69.3</v>
      </c>
      <c r="C128" s="30">
        <v>27.99</v>
      </c>
    </row>
    <row r="129" spans="1:3" x14ac:dyDescent="0.2">
      <c r="A129" s="28">
        <v>34</v>
      </c>
      <c r="B129" s="29">
        <v>60.7</v>
      </c>
      <c r="C129" s="30">
        <v>24.95</v>
      </c>
    </row>
    <row r="130" spans="1:3" x14ac:dyDescent="0.2">
      <c r="A130" s="21">
        <v>34.130000000000003</v>
      </c>
      <c r="B130" s="22">
        <v>64.86</v>
      </c>
      <c r="C130" s="22">
        <v>29.27</v>
      </c>
    </row>
    <row r="131" spans="1:3" x14ac:dyDescent="0.2">
      <c r="A131" s="28">
        <v>34.200000000000003</v>
      </c>
      <c r="B131" s="29">
        <v>64.64</v>
      </c>
      <c r="C131" s="30">
        <v>29.43</v>
      </c>
    </row>
    <row r="132" spans="1:3" x14ac:dyDescent="0.2">
      <c r="A132" s="21">
        <v>34.25</v>
      </c>
      <c r="B132" s="22">
        <v>69.25</v>
      </c>
      <c r="C132" s="22">
        <v>28.06</v>
      </c>
    </row>
    <row r="133" spans="1:3" x14ac:dyDescent="0.2">
      <c r="A133" s="28">
        <v>34.29</v>
      </c>
      <c r="B133" s="29">
        <v>71.19</v>
      </c>
      <c r="C133" s="30">
        <v>28.42</v>
      </c>
    </row>
    <row r="134" spans="1:3" x14ac:dyDescent="0.2">
      <c r="A134" s="26">
        <v>34.33</v>
      </c>
      <c r="B134" s="27">
        <v>72.349999999999994</v>
      </c>
      <c r="C134" s="27">
        <v>27.76</v>
      </c>
    </row>
    <row r="135" spans="1:3" x14ac:dyDescent="0.2">
      <c r="A135" s="18">
        <v>34.36</v>
      </c>
      <c r="B135" s="20">
        <v>69.61</v>
      </c>
      <c r="C135" s="20">
        <v>28.85</v>
      </c>
    </row>
    <row r="136" spans="1:3" x14ac:dyDescent="0.2">
      <c r="A136" s="26">
        <v>34.5</v>
      </c>
      <c r="B136" s="27">
        <v>75.75</v>
      </c>
      <c r="C136" s="27">
        <v>25.34</v>
      </c>
    </row>
    <row r="137" spans="1:3" x14ac:dyDescent="0.2">
      <c r="A137" s="21">
        <v>34.5</v>
      </c>
      <c r="B137" s="22">
        <v>76.75</v>
      </c>
      <c r="C137" s="22">
        <v>31.63</v>
      </c>
    </row>
    <row r="138" spans="1:3" x14ac:dyDescent="0.2">
      <c r="A138" s="21">
        <v>34.5</v>
      </c>
      <c r="B138" s="22">
        <v>66.55</v>
      </c>
      <c r="C138" s="22">
        <v>27.82</v>
      </c>
    </row>
    <row r="139" spans="1:3" x14ac:dyDescent="0.2">
      <c r="A139" s="18">
        <v>34.5</v>
      </c>
      <c r="B139" s="20">
        <v>70.63</v>
      </c>
      <c r="C139" s="20">
        <v>30.63</v>
      </c>
    </row>
    <row r="140" spans="1:3" x14ac:dyDescent="0.2">
      <c r="A140" s="28">
        <v>34.5</v>
      </c>
      <c r="B140" s="29">
        <v>71.7</v>
      </c>
      <c r="C140" s="30">
        <v>31.34</v>
      </c>
    </row>
    <row r="141" spans="1:3" x14ac:dyDescent="0.2">
      <c r="A141" s="18">
        <v>34.58</v>
      </c>
      <c r="B141" s="20">
        <v>71.319999999999993</v>
      </c>
      <c r="C141" s="20">
        <v>28.34</v>
      </c>
    </row>
    <row r="142" spans="1:3" x14ac:dyDescent="0.2">
      <c r="A142" s="26">
        <v>34.67</v>
      </c>
      <c r="B142" s="27">
        <v>74.62</v>
      </c>
      <c r="C142" s="27">
        <v>30.76</v>
      </c>
    </row>
    <row r="143" spans="1:3" x14ac:dyDescent="0.2">
      <c r="A143" s="21">
        <v>34.700000000000003</v>
      </c>
      <c r="B143" s="22">
        <v>75.69</v>
      </c>
      <c r="C143" s="22">
        <v>30.42</v>
      </c>
    </row>
    <row r="144" spans="1:3" x14ac:dyDescent="0.2">
      <c r="A144" s="26">
        <v>34.71</v>
      </c>
      <c r="B144" s="27">
        <v>70.930000000000007</v>
      </c>
      <c r="C144" s="27">
        <v>31.01</v>
      </c>
    </row>
    <row r="145" spans="1:3" x14ac:dyDescent="0.2">
      <c r="A145" s="21">
        <v>34.75</v>
      </c>
      <c r="B145" s="22">
        <v>72.8</v>
      </c>
      <c r="C145" s="22">
        <v>26.81</v>
      </c>
    </row>
    <row r="146" spans="1:3" x14ac:dyDescent="0.2">
      <c r="A146" s="18">
        <v>34.83</v>
      </c>
      <c r="B146" s="20">
        <v>68.900000000000006</v>
      </c>
      <c r="C146" s="20">
        <v>31.13</v>
      </c>
    </row>
    <row r="147" spans="1:3" x14ac:dyDescent="0.2">
      <c r="A147" s="26">
        <v>34.94</v>
      </c>
      <c r="B147" s="27">
        <v>68.91</v>
      </c>
      <c r="C147" s="27">
        <v>30.66</v>
      </c>
    </row>
    <row r="148" spans="1:3" x14ac:dyDescent="0.2">
      <c r="A148" s="26">
        <v>35</v>
      </c>
      <c r="B148" s="27">
        <v>71.56</v>
      </c>
      <c r="C148" s="27">
        <v>28.84</v>
      </c>
    </row>
    <row r="149" spans="1:3" x14ac:dyDescent="0.2">
      <c r="A149" s="26">
        <v>35</v>
      </c>
      <c r="B149" s="27">
        <v>73.47</v>
      </c>
      <c r="C149" s="27">
        <v>31.04</v>
      </c>
    </row>
    <row r="150" spans="1:3" x14ac:dyDescent="0.2">
      <c r="A150" s="26">
        <v>35</v>
      </c>
      <c r="B150" s="27">
        <v>68.38</v>
      </c>
      <c r="C150" s="27">
        <v>29.83</v>
      </c>
    </row>
    <row r="151" spans="1:3" x14ac:dyDescent="0.2">
      <c r="A151" s="21">
        <v>35</v>
      </c>
      <c r="B151" s="22">
        <v>77.06</v>
      </c>
      <c r="C151" s="22">
        <v>27.13</v>
      </c>
    </row>
    <row r="152" spans="1:3" x14ac:dyDescent="0.2">
      <c r="A152" s="21">
        <v>35</v>
      </c>
      <c r="B152" s="22">
        <v>67.62</v>
      </c>
      <c r="C152" s="22">
        <v>30.07</v>
      </c>
    </row>
    <row r="153" spans="1:3" x14ac:dyDescent="0.2">
      <c r="A153" s="21">
        <v>35</v>
      </c>
      <c r="B153" s="22">
        <v>74.72</v>
      </c>
      <c r="C153" s="22">
        <v>24.91</v>
      </c>
    </row>
    <row r="154" spans="1:3" x14ac:dyDescent="0.2">
      <c r="A154" s="21">
        <v>35</v>
      </c>
      <c r="B154" s="22">
        <v>72.95</v>
      </c>
      <c r="C154" s="22">
        <v>25.93</v>
      </c>
    </row>
    <row r="155" spans="1:3" x14ac:dyDescent="0.2">
      <c r="A155" s="18">
        <v>35</v>
      </c>
      <c r="B155" s="20">
        <v>69.67</v>
      </c>
      <c r="C155" s="20">
        <v>32.39</v>
      </c>
    </row>
    <row r="156" spans="1:3" x14ac:dyDescent="0.2">
      <c r="A156" s="21">
        <v>35.11</v>
      </c>
      <c r="B156" s="22">
        <v>72.91</v>
      </c>
      <c r="C156" s="22">
        <v>29.78</v>
      </c>
    </row>
    <row r="157" spans="1:3" x14ac:dyDescent="0.2">
      <c r="A157" s="21">
        <v>35.11</v>
      </c>
      <c r="B157" s="22">
        <v>70.17</v>
      </c>
      <c r="C157" s="22">
        <v>27.52</v>
      </c>
    </row>
    <row r="158" spans="1:3" x14ac:dyDescent="0.2">
      <c r="A158" s="26">
        <v>35.14</v>
      </c>
      <c r="B158" s="27">
        <v>73.97</v>
      </c>
      <c r="C158" s="27">
        <v>28.43</v>
      </c>
    </row>
    <row r="159" spans="1:3" x14ac:dyDescent="0.2">
      <c r="A159" s="18">
        <v>35.17</v>
      </c>
      <c r="B159" s="20">
        <v>65.27</v>
      </c>
      <c r="C159" s="20">
        <v>29.63</v>
      </c>
    </row>
    <row r="160" spans="1:3" x14ac:dyDescent="0.2">
      <c r="A160" s="26">
        <v>35.200000000000003</v>
      </c>
      <c r="B160" s="27">
        <v>69.44</v>
      </c>
      <c r="C160" s="27">
        <v>29.71</v>
      </c>
    </row>
    <row r="161" spans="1:3" x14ac:dyDescent="0.2">
      <c r="A161" s="26">
        <v>35.200000000000003</v>
      </c>
      <c r="B161" s="27">
        <v>73.66</v>
      </c>
      <c r="C161" s="27">
        <v>28.94</v>
      </c>
    </row>
    <row r="162" spans="1:3" x14ac:dyDescent="0.2">
      <c r="A162" s="26">
        <v>35.200000000000003</v>
      </c>
      <c r="B162" s="27">
        <v>66.94</v>
      </c>
      <c r="C162" s="27">
        <v>32.57</v>
      </c>
    </row>
    <row r="163" spans="1:3" x14ac:dyDescent="0.2">
      <c r="A163" s="28">
        <v>35.25</v>
      </c>
      <c r="B163" s="29">
        <v>75.5</v>
      </c>
      <c r="C163" s="30">
        <v>25.09</v>
      </c>
    </row>
    <row r="164" spans="1:3" x14ac:dyDescent="0.2">
      <c r="A164" s="26">
        <v>35.29</v>
      </c>
      <c r="B164" s="27">
        <v>71.87</v>
      </c>
      <c r="C164" s="27">
        <v>28.87</v>
      </c>
    </row>
    <row r="165" spans="1:3" x14ac:dyDescent="0.2">
      <c r="A165" s="26">
        <v>35.33</v>
      </c>
      <c r="B165" s="27">
        <v>73.12</v>
      </c>
      <c r="C165" s="27">
        <v>27.51</v>
      </c>
    </row>
    <row r="166" spans="1:3" x14ac:dyDescent="0.2">
      <c r="A166" s="18">
        <v>35.33</v>
      </c>
      <c r="B166" s="20">
        <v>70.95</v>
      </c>
      <c r="C166" s="20">
        <v>31.51</v>
      </c>
    </row>
    <row r="167" spans="1:3" x14ac:dyDescent="0.2">
      <c r="A167" s="26">
        <v>35.4</v>
      </c>
      <c r="B167" s="27">
        <v>72.58</v>
      </c>
      <c r="C167" s="27">
        <v>30.1</v>
      </c>
    </row>
    <row r="168" spans="1:3" x14ac:dyDescent="0.2">
      <c r="A168" s="26">
        <v>35.43</v>
      </c>
      <c r="B168" s="27">
        <v>72.599999999999994</v>
      </c>
      <c r="C168" s="27">
        <v>27.75</v>
      </c>
    </row>
    <row r="169" spans="1:3" x14ac:dyDescent="0.2">
      <c r="A169" s="26">
        <v>35.43</v>
      </c>
      <c r="B169" s="27">
        <v>76.099999999999994</v>
      </c>
      <c r="C169" s="27">
        <v>25.77</v>
      </c>
    </row>
    <row r="170" spans="1:3" x14ac:dyDescent="0.2">
      <c r="A170" s="21">
        <v>35.43</v>
      </c>
      <c r="B170" s="22">
        <v>70.05</v>
      </c>
      <c r="C170" s="22">
        <v>28.89</v>
      </c>
    </row>
    <row r="171" spans="1:3" x14ac:dyDescent="0.2">
      <c r="A171" s="26">
        <v>35.450000000000003</v>
      </c>
      <c r="B171" s="27">
        <v>70.45</v>
      </c>
      <c r="C171" s="27">
        <v>28.7</v>
      </c>
    </row>
    <row r="172" spans="1:3" x14ac:dyDescent="0.2">
      <c r="A172" s="26">
        <v>35.57</v>
      </c>
      <c r="B172" s="27">
        <v>71.7</v>
      </c>
      <c r="C172" s="27">
        <v>30.41</v>
      </c>
    </row>
    <row r="173" spans="1:3" x14ac:dyDescent="0.2">
      <c r="A173" s="26">
        <v>35.630000000000003</v>
      </c>
      <c r="B173" s="27">
        <v>70.19</v>
      </c>
      <c r="C173" s="27">
        <v>29.72</v>
      </c>
    </row>
    <row r="174" spans="1:3" x14ac:dyDescent="0.2">
      <c r="A174" s="21">
        <v>35.630000000000003</v>
      </c>
      <c r="B174" s="22">
        <v>73.08</v>
      </c>
      <c r="C174" s="22">
        <v>30.18</v>
      </c>
    </row>
    <row r="175" spans="1:3" x14ac:dyDescent="0.2">
      <c r="A175" s="21">
        <v>35.700000000000003</v>
      </c>
      <c r="B175" s="22">
        <v>72.42</v>
      </c>
      <c r="C175" s="22">
        <v>29.14</v>
      </c>
    </row>
    <row r="176" spans="1:3" x14ac:dyDescent="0.2">
      <c r="A176" s="26">
        <v>35.71</v>
      </c>
      <c r="B176" s="27">
        <v>70.739999999999995</v>
      </c>
      <c r="C176" s="27">
        <v>30.09</v>
      </c>
    </row>
    <row r="177" spans="1:3" x14ac:dyDescent="0.2">
      <c r="A177" s="18">
        <v>35.75</v>
      </c>
      <c r="B177" s="20">
        <v>66.099999999999994</v>
      </c>
      <c r="C177" s="20">
        <v>31.05</v>
      </c>
    </row>
    <row r="178" spans="1:3" x14ac:dyDescent="0.2">
      <c r="A178" s="18">
        <v>35.75</v>
      </c>
      <c r="B178" s="20">
        <v>74.709999999999994</v>
      </c>
      <c r="C178" s="20">
        <v>27.36</v>
      </c>
    </row>
    <row r="179" spans="1:3" x14ac:dyDescent="0.2">
      <c r="A179" s="21">
        <v>35.799999999999997</v>
      </c>
      <c r="B179" s="22">
        <v>73.08</v>
      </c>
      <c r="C179" s="22">
        <v>31.31</v>
      </c>
    </row>
    <row r="180" spans="1:3" x14ac:dyDescent="0.2">
      <c r="A180" s="21">
        <v>35.83</v>
      </c>
      <c r="B180" s="22">
        <v>72.03</v>
      </c>
      <c r="C180" s="22">
        <v>30.17</v>
      </c>
    </row>
    <row r="181" spans="1:3" x14ac:dyDescent="0.2">
      <c r="A181" s="21">
        <v>35.89</v>
      </c>
      <c r="B181" s="22">
        <v>70.44</v>
      </c>
      <c r="C181" s="22">
        <v>32.159999999999997</v>
      </c>
    </row>
    <row r="182" spans="1:3" x14ac:dyDescent="0.2">
      <c r="A182" s="21">
        <v>35.950000000000003</v>
      </c>
      <c r="B182" s="22">
        <v>73.349999999999994</v>
      </c>
      <c r="C182" s="22">
        <v>30.21</v>
      </c>
    </row>
    <row r="183" spans="1:3" x14ac:dyDescent="0.2">
      <c r="A183" s="26">
        <v>36</v>
      </c>
      <c r="B183" s="27">
        <v>72.44</v>
      </c>
      <c r="C183" s="27">
        <v>32.44</v>
      </c>
    </row>
    <row r="184" spans="1:3" x14ac:dyDescent="0.2">
      <c r="A184" s="26">
        <v>36</v>
      </c>
      <c r="B184" s="27">
        <v>71.900000000000006</v>
      </c>
      <c r="C184" s="27">
        <v>29.96</v>
      </c>
    </row>
    <row r="185" spans="1:3" x14ac:dyDescent="0.2">
      <c r="A185" s="26">
        <v>36</v>
      </c>
      <c r="B185" s="27">
        <v>70.7</v>
      </c>
      <c r="C185" s="27">
        <v>28.35</v>
      </c>
    </row>
    <row r="186" spans="1:3" x14ac:dyDescent="0.2">
      <c r="A186" s="26">
        <v>36</v>
      </c>
      <c r="B186" s="27">
        <v>73.5</v>
      </c>
      <c r="C186" s="27">
        <v>30.41</v>
      </c>
    </row>
    <row r="187" spans="1:3" x14ac:dyDescent="0.2">
      <c r="A187" s="26">
        <v>36</v>
      </c>
      <c r="B187" s="27">
        <v>71.91</v>
      </c>
      <c r="C187" s="27">
        <v>28.41</v>
      </c>
    </row>
    <row r="188" spans="1:3" x14ac:dyDescent="0.2">
      <c r="A188" s="21">
        <v>36</v>
      </c>
      <c r="B188" s="22">
        <v>74.66</v>
      </c>
      <c r="C188" s="22">
        <v>30.66</v>
      </c>
    </row>
    <row r="189" spans="1:3" x14ac:dyDescent="0.2">
      <c r="A189" s="21">
        <v>36</v>
      </c>
      <c r="B189" s="22">
        <v>65.650000000000006</v>
      </c>
      <c r="C189" s="22">
        <v>28.97</v>
      </c>
    </row>
    <row r="190" spans="1:3" x14ac:dyDescent="0.2">
      <c r="A190" s="21">
        <v>36</v>
      </c>
      <c r="B190" s="22">
        <v>75.33</v>
      </c>
      <c r="C190" s="22">
        <v>24.99</v>
      </c>
    </row>
    <row r="191" spans="1:3" x14ac:dyDescent="0.2">
      <c r="A191" s="26">
        <v>36.130000000000003</v>
      </c>
      <c r="B191" s="27">
        <v>69.709999999999994</v>
      </c>
      <c r="C191" s="27">
        <v>30.29</v>
      </c>
    </row>
    <row r="192" spans="1:3" x14ac:dyDescent="0.2">
      <c r="A192" s="26">
        <v>36.17</v>
      </c>
      <c r="B192" s="27">
        <v>70.78</v>
      </c>
      <c r="C192" s="27">
        <v>28.05</v>
      </c>
    </row>
    <row r="193" spans="1:3" x14ac:dyDescent="0.2">
      <c r="A193" s="21">
        <v>36.270000000000003</v>
      </c>
      <c r="B193" s="22">
        <v>73.67</v>
      </c>
      <c r="C193" s="22">
        <v>29.25</v>
      </c>
    </row>
    <row r="194" spans="1:3" x14ac:dyDescent="0.2">
      <c r="A194" s="21">
        <v>36.29</v>
      </c>
      <c r="B194" s="22">
        <v>71.61</v>
      </c>
      <c r="C194" s="22">
        <v>31.75</v>
      </c>
    </row>
    <row r="195" spans="1:3" x14ac:dyDescent="0.2">
      <c r="A195" s="26">
        <v>36.33</v>
      </c>
      <c r="B195" s="27">
        <v>74.72</v>
      </c>
      <c r="C195" s="27">
        <v>31.55</v>
      </c>
    </row>
    <row r="196" spans="1:3" x14ac:dyDescent="0.2">
      <c r="A196" s="21">
        <v>36.33</v>
      </c>
      <c r="B196" s="22">
        <v>72.900000000000006</v>
      </c>
      <c r="C196" s="22">
        <v>26.84</v>
      </c>
    </row>
    <row r="197" spans="1:3" x14ac:dyDescent="0.2">
      <c r="A197" s="18">
        <v>36.380000000000003</v>
      </c>
      <c r="B197" s="20">
        <v>65.94</v>
      </c>
      <c r="C197" s="20">
        <v>31.5</v>
      </c>
    </row>
    <row r="198" spans="1:3" x14ac:dyDescent="0.2">
      <c r="A198" s="18">
        <v>36.5</v>
      </c>
      <c r="B198" s="20">
        <v>71.95</v>
      </c>
      <c r="C198" s="20">
        <v>29.43</v>
      </c>
    </row>
    <row r="199" spans="1:3" x14ac:dyDescent="0.2">
      <c r="A199" s="18">
        <v>36.5</v>
      </c>
      <c r="B199" s="20">
        <v>62.9</v>
      </c>
      <c r="C199" s="20">
        <v>29.09</v>
      </c>
    </row>
    <row r="200" spans="1:3" x14ac:dyDescent="0.2">
      <c r="A200" s="26">
        <v>36.53</v>
      </c>
      <c r="B200" s="27">
        <v>68.180000000000007</v>
      </c>
      <c r="C200" s="27">
        <v>28.37</v>
      </c>
    </row>
    <row r="201" spans="1:3" x14ac:dyDescent="0.2">
      <c r="A201" s="26">
        <v>36.75</v>
      </c>
      <c r="B201" s="27">
        <v>73.78</v>
      </c>
      <c r="C201" s="27">
        <v>28.76</v>
      </c>
    </row>
    <row r="202" spans="1:3" x14ac:dyDescent="0.2">
      <c r="A202" s="21">
        <v>36.75</v>
      </c>
      <c r="B202" s="22">
        <v>73.959999999999994</v>
      </c>
      <c r="C202" s="22">
        <v>31.89</v>
      </c>
    </row>
    <row r="203" spans="1:3" x14ac:dyDescent="0.2">
      <c r="A203" s="21">
        <v>36.78</v>
      </c>
      <c r="B203" s="22">
        <v>75.239999999999995</v>
      </c>
      <c r="C203" s="22">
        <v>30.24</v>
      </c>
    </row>
    <row r="204" spans="1:3" x14ac:dyDescent="0.2">
      <c r="A204" s="21">
        <v>36.9</v>
      </c>
      <c r="B204" s="22">
        <v>67.44</v>
      </c>
      <c r="C204" s="22">
        <v>33.33</v>
      </c>
    </row>
    <row r="205" spans="1:3" x14ac:dyDescent="0.2">
      <c r="A205" s="26">
        <v>37</v>
      </c>
      <c r="B205" s="27">
        <v>70.7</v>
      </c>
      <c r="C205" s="27">
        <v>34.590000000000003</v>
      </c>
    </row>
    <row r="206" spans="1:3" x14ac:dyDescent="0.2">
      <c r="A206" s="26">
        <v>37</v>
      </c>
      <c r="B206" s="27">
        <v>68.319999999999993</v>
      </c>
      <c r="C206" s="27">
        <v>32.17</v>
      </c>
    </row>
    <row r="207" spans="1:3" x14ac:dyDescent="0.2">
      <c r="A207" s="26">
        <v>37</v>
      </c>
      <c r="B207" s="27">
        <v>61</v>
      </c>
      <c r="C207" s="27">
        <v>29.99</v>
      </c>
    </row>
    <row r="208" spans="1:3" x14ac:dyDescent="0.2">
      <c r="A208" s="26">
        <v>37</v>
      </c>
      <c r="B208" s="27">
        <v>68.430000000000007</v>
      </c>
      <c r="C208" s="27">
        <v>26.73</v>
      </c>
    </row>
    <row r="209" spans="1:3" x14ac:dyDescent="0.2">
      <c r="A209" s="21">
        <v>37</v>
      </c>
      <c r="B209" s="22">
        <v>69</v>
      </c>
      <c r="C209" s="22">
        <v>31.26</v>
      </c>
    </row>
    <row r="210" spans="1:3" x14ac:dyDescent="0.2">
      <c r="A210" s="21">
        <v>37</v>
      </c>
      <c r="B210" s="22">
        <v>76.650000000000006</v>
      </c>
      <c r="C210" s="22">
        <v>26.24</v>
      </c>
    </row>
    <row r="211" spans="1:3" x14ac:dyDescent="0.2">
      <c r="A211" s="21">
        <v>37</v>
      </c>
      <c r="B211" s="22">
        <v>74.650000000000006</v>
      </c>
      <c r="C211" s="22">
        <v>31.49</v>
      </c>
    </row>
    <row r="212" spans="1:3" x14ac:dyDescent="0.2">
      <c r="A212" s="21">
        <v>37</v>
      </c>
      <c r="B212" s="22">
        <v>67.400000000000006</v>
      </c>
      <c r="C212" s="22">
        <v>30.44</v>
      </c>
    </row>
    <row r="213" spans="1:3" x14ac:dyDescent="0.2">
      <c r="A213" s="21">
        <v>37</v>
      </c>
      <c r="B213" s="22">
        <v>76.180000000000007</v>
      </c>
      <c r="C213" s="22">
        <v>27.88</v>
      </c>
    </row>
    <row r="214" spans="1:3" x14ac:dyDescent="0.2">
      <c r="A214" s="21">
        <v>37</v>
      </c>
      <c r="B214" s="22">
        <v>70.25</v>
      </c>
      <c r="C214" s="22">
        <v>26.82</v>
      </c>
    </row>
    <row r="215" spans="1:3" x14ac:dyDescent="0.2">
      <c r="A215" s="18">
        <v>37</v>
      </c>
      <c r="B215" s="20">
        <v>67.599999999999994</v>
      </c>
      <c r="C215" s="20">
        <v>25.55</v>
      </c>
    </row>
    <row r="216" spans="1:3" x14ac:dyDescent="0.2">
      <c r="A216" s="21">
        <v>37.17</v>
      </c>
      <c r="B216" s="22">
        <v>72.38</v>
      </c>
      <c r="C216" s="22">
        <v>32.340000000000003</v>
      </c>
    </row>
    <row r="217" spans="1:3" x14ac:dyDescent="0.2">
      <c r="A217" s="18">
        <v>37.200000000000003</v>
      </c>
      <c r="B217" s="20">
        <v>72.5</v>
      </c>
      <c r="C217" s="20">
        <v>29.49</v>
      </c>
    </row>
    <row r="218" spans="1:3" x14ac:dyDescent="0.2">
      <c r="A218" s="21">
        <v>37.5</v>
      </c>
      <c r="B218" s="22">
        <v>68.430000000000007</v>
      </c>
      <c r="C218" s="22">
        <v>30.53</v>
      </c>
    </row>
    <row r="219" spans="1:3" x14ac:dyDescent="0.2">
      <c r="A219" s="26">
        <v>37.67</v>
      </c>
      <c r="B219" s="27">
        <v>72.430000000000007</v>
      </c>
      <c r="C219" s="27">
        <v>32</v>
      </c>
    </row>
    <row r="220" spans="1:3" x14ac:dyDescent="0.2">
      <c r="A220" s="26">
        <v>38</v>
      </c>
      <c r="B220" s="27">
        <v>67</v>
      </c>
      <c r="C220" s="27">
        <v>29.84</v>
      </c>
    </row>
    <row r="221" spans="1:3" x14ac:dyDescent="0.2">
      <c r="A221" s="26">
        <v>38</v>
      </c>
      <c r="B221" s="27">
        <v>65.599999999999994</v>
      </c>
      <c r="C221" s="27">
        <v>28.45</v>
      </c>
    </row>
    <row r="222" spans="1:3" x14ac:dyDescent="0.2">
      <c r="A222" s="26">
        <v>38.119999999999997</v>
      </c>
      <c r="B222" s="27">
        <v>77.7</v>
      </c>
      <c r="C222" s="27">
        <v>25.85</v>
      </c>
    </row>
    <row r="223" spans="1:3" x14ac:dyDescent="0.2">
      <c r="A223" s="26">
        <v>38.14</v>
      </c>
      <c r="B223" s="27">
        <v>70.430000000000007</v>
      </c>
      <c r="C223" s="27">
        <v>33.43</v>
      </c>
    </row>
    <row r="224" spans="1:3" x14ac:dyDescent="0.2">
      <c r="A224" s="21">
        <v>40</v>
      </c>
      <c r="B224" s="22">
        <v>65.599999999999994</v>
      </c>
      <c r="C224" s="22">
        <v>29.73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00539-D343-3440-BD52-1FC80C820BB7}">
  <dimension ref="A1:K224"/>
  <sheetViews>
    <sheetView zoomScale="75" zoomScaleNormal="100" workbookViewId="0">
      <selection activeCell="D5" sqref="D5"/>
    </sheetView>
  </sheetViews>
  <sheetFormatPr baseColWidth="10" defaultRowHeight="15" x14ac:dyDescent="0.2"/>
  <cols>
    <col min="1" max="1" width="14.5" customWidth="1"/>
    <col min="2" max="2" width="19.1640625" customWidth="1"/>
    <col min="3" max="3" width="20.33203125" customWidth="1"/>
    <col min="5" max="6" width="21.5" customWidth="1"/>
    <col min="7" max="7" width="20.83203125" customWidth="1"/>
    <col min="8" max="8" width="10.83203125" customWidth="1"/>
    <col min="9" max="9" width="19.33203125" bestFit="1" customWidth="1"/>
    <col min="10" max="10" width="20.33203125" bestFit="1" customWidth="1"/>
    <col min="11" max="11" width="19.33203125" bestFit="1" customWidth="1"/>
    <col min="13" max="13" width="10.83203125" customWidth="1"/>
    <col min="14" max="14" width="5.5" customWidth="1"/>
    <col min="15" max="16" width="21.83203125" customWidth="1"/>
    <col min="17" max="17" width="21.5" customWidth="1"/>
  </cols>
  <sheetData>
    <row r="1" spans="1:11" ht="34" x14ac:dyDescent="0.2">
      <c r="A1" s="1" t="s">
        <v>0</v>
      </c>
      <c r="B1" s="2" t="s">
        <v>1</v>
      </c>
      <c r="C1" s="31" t="s">
        <v>12</v>
      </c>
      <c r="E1" s="36" t="s">
        <v>18</v>
      </c>
      <c r="F1" s="36" t="s">
        <v>16</v>
      </c>
      <c r="G1" s="36" t="s">
        <v>17</v>
      </c>
    </row>
    <row r="2" spans="1:11" x14ac:dyDescent="0.2">
      <c r="A2" s="6">
        <v>19.75</v>
      </c>
      <c r="B2" s="6">
        <v>67.075000000000003</v>
      </c>
      <c r="C2" s="6">
        <v>22.993487890376038</v>
      </c>
      <c r="E2" s="6">
        <v>19.75</v>
      </c>
      <c r="F2" s="3">
        <v>56.55</v>
      </c>
      <c r="G2" s="3">
        <v>21.87</v>
      </c>
      <c r="I2" s="12" t="s">
        <v>4</v>
      </c>
      <c r="J2" s="12" t="s">
        <v>2</v>
      </c>
      <c r="K2" s="12" t="s">
        <v>10</v>
      </c>
    </row>
    <row r="3" spans="1:11" x14ac:dyDescent="0.2">
      <c r="A3" s="7">
        <v>20</v>
      </c>
      <c r="B3" s="7">
        <v>63.4</v>
      </c>
      <c r="C3" s="7">
        <v>25.32</v>
      </c>
      <c r="E3" s="7">
        <v>20</v>
      </c>
      <c r="F3" s="6">
        <v>56.9</v>
      </c>
      <c r="G3" s="6">
        <v>22.128584925467145</v>
      </c>
      <c r="I3" s="11">
        <f>MIN(A2:A224)</f>
        <v>19.75</v>
      </c>
      <c r="J3" s="11">
        <f>MIN(B2:B224)</f>
        <v>56.55</v>
      </c>
      <c r="K3" s="11">
        <f>MIN(C2:C224)</f>
        <v>21.87</v>
      </c>
    </row>
    <row r="4" spans="1:11" x14ac:dyDescent="0.2">
      <c r="A4" s="4">
        <v>20.176470588235293</v>
      </c>
      <c r="B4" s="4">
        <v>69.544117647058812</v>
      </c>
      <c r="C4" s="5">
        <v>23.159499714399647</v>
      </c>
      <c r="E4" s="4">
        <v>20.176470588235293</v>
      </c>
      <c r="F4" s="8">
        <v>60.7</v>
      </c>
      <c r="G4" s="6">
        <v>22.176004382761139</v>
      </c>
      <c r="I4" s="13" t="s">
        <v>3</v>
      </c>
      <c r="J4" s="13" t="s">
        <v>8</v>
      </c>
      <c r="K4" s="13" t="s">
        <v>9</v>
      </c>
    </row>
    <row r="5" spans="1:11" x14ac:dyDescent="0.2">
      <c r="A5" s="4">
        <v>20.333333333333332</v>
      </c>
      <c r="B5" s="4">
        <v>66.833333333333329</v>
      </c>
      <c r="C5" s="5">
        <v>22.716724915986561</v>
      </c>
      <c r="E5" s="4">
        <v>20.333333333333332</v>
      </c>
      <c r="F5" s="3">
        <v>61</v>
      </c>
      <c r="G5" s="3">
        <v>22.249936717068231</v>
      </c>
      <c r="I5" s="11">
        <f>MAX(A2:A224)</f>
        <v>40</v>
      </c>
      <c r="J5" s="11">
        <f>MAX(B2:B224)</f>
        <v>80.400000000000006</v>
      </c>
      <c r="K5" s="11">
        <f>MAX(C2:C224)</f>
        <v>34.592100400369574</v>
      </c>
    </row>
    <row r="6" spans="1:11" x14ac:dyDescent="0.2">
      <c r="A6" s="7">
        <v>21</v>
      </c>
      <c r="B6" s="7">
        <v>67.599999999999994</v>
      </c>
      <c r="C6" s="7">
        <v>22.86</v>
      </c>
      <c r="E6" s="7">
        <v>21</v>
      </c>
      <c r="F6" s="3">
        <v>61.15</v>
      </c>
      <c r="G6" s="9">
        <v>22.3</v>
      </c>
      <c r="I6" s="14" t="s">
        <v>5</v>
      </c>
      <c r="J6" s="14" t="s">
        <v>6</v>
      </c>
      <c r="K6" s="14" t="s">
        <v>7</v>
      </c>
    </row>
    <row r="7" spans="1:11" x14ac:dyDescent="0.2">
      <c r="A7" s="3">
        <v>21.2</v>
      </c>
      <c r="B7" s="3">
        <v>68.84</v>
      </c>
      <c r="C7" s="3">
        <v>22.665859994769423</v>
      </c>
      <c r="E7" s="3">
        <v>21.2</v>
      </c>
      <c r="F7" s="6">
        <v>62</v>
      </c>
      <c r="G7" s="3">
        <v>22.665859994769423</v>
      </c>
      <c r="I7" s="11">
        <f>I5-I3</f>
        <v>20.25</v>
      </c>
      <c r="J7" s="11">
        <f t="shared" ref="J7:K7" si="0">J5-J3</f>
        <v>23.850000000000009</v>
      </c>
      <c r="K7" s="11">
        <f t="shared" si="0"/>
        <v>12.722100400369573</v>
      </c>
    </row>
    <row r="8" spans="1:11" x14ac:dyDescent="0.2">
      <c r="A8" s="6">
        <v>21.4</v>
      </c>
      <c r="B8" s="6">
        <v>73.36</v>
      </c>
      <c r="C8" s="6">
        <v>22.128584925467145</v>
      </c>
      <c r="E8" s="6">
        <v>21.4</v>
      </c>
      <c r="F8" s="3">
        <v>62.7</v>
      </c>
      <c r="G8" s="7">
        <v>22.674409521118804</v>
      </c>
      <c r="I8" s="35" t="s">
        <v>11</v>
      </c>
      <c r="J8" s="35"/>
      <c r="K8" s="35"/>
    </row>
    <row r="9" spans="1:11" x14ac:dyDescent="0.2">
      <c r="A9" s="3">
        <v>22</v>
      </c>
      <c r="B9" s="3">
        <v>73.599999999999994</v>
      </c>
      <c r="C9" s="3">
        <v>23.76262643433914</v>
      </c>
      <c r="E9" s="3">
        <v>22</v>
      </c>
      <c r="F9" s="3">
        <v>62.75</v>
      </c>
      <c r="G9" s="5">
        <v>22.716724915986561</v>
      </c>
      <c r="I9">
        <v>20</v>
      </c>
      <c r="J9">
        <v>60</v>
      </c>
      <c r="K9">
        <v>20</v>
      </c>
    </row>
    <row r="10" spans="1:11" x14ac:dyDescent="0.2">
      <c r="A10" s="3">
        <v>22</v>
      </c>
      <c r="B10" s="3">
        <v>72.5</v>
      </c>
      <c r="C10" s="3">
        <v>24.26</v>
      </c>
      <c r="E10" s="3">
        <v>22</v>
      </c>
      <c r="F10" s="6">
        <v>62.9</v>
      </c>
      <c r="G10" s="7">
        <v>22.86</v>
      </c>
      <c r="I10">
        <v>25</v>
      </c>
      <c r="J10">
        <v>65</v>
      </c>
      <c r="K10">
        <v>25</v>
      </c>
    </row>
    <row r="11" spans="1:11" x14ac:dyDescent="0.2">
      <c r="A11" s="3">
        <v>22</v>
      </c>
      <c r="B11" s="3">
        <v>76.849999999999994</v>
      </c>
      <c r="C11" s="3">
        <v>23.55474436863258</v>
      </c>
      <c r="E11" s="3">
        <v>22</v>
      </c>
      <c r="F11" s="3">
        <v>63.280000000000008</v>
      </c>
      <c r="G11" s="6">
        <v>22.993487890376038</v>
      </c>
      <c r="I11">
        <v>30</v>
      </c>
      <c r="J11">
        <v>70</v>
      </c>
      <c r="K11">
        <v>30</v>
      </c>
    </row>
    <row r="12" spans="1:11" x14ac:dyDescent="0.2">
      <c r="A12" s="7">
        <v>22</v>
      </c>
      <c r="B12" s="7">
        <v>69.34545454545453</v>
      </c>
      <c r="C12" s="7">
        <v>24.858590512678333</v>
      </c>
      <c r="E12" s="7">
        <v>22</v>
      </c>
      <c r="F12" s="7">
        <v>63.4</v>
      </c>
      <c r="G12" s="5">
        <v>23.159499714399647</v>
      </c>
      <c r="I12">
        <v>35</v>
      </c>
      <c r="J12">
        <v>75</v>
      </c>
      <c r="K12">
        <v>35</v>
      </c>
    </row>
    <row r="13" spans="1:11" x14ac:dyDescent="0.2">
      <c r="A13" s="8">
        <v>22</v>
      </c>
      <c r="B13" s="8">
        <v>66.8</v>
      </c>
      <c r="C13" s="9">
        <v>22.3</v>
      </c>
      <c r="E13" s="8">
        <v>22</v>
      </c>
      <c r="F13" s="8">
        <v>63.719999999999992</v>
      </c>
      <c r="G13" s="6">
        <v>23.186830377444291</v>
      </c>
      <c r="I13">
        <v>40</v>
      </c>
      <c r="J13">
        <v>80</v>
      </c>
    </row>
    <row r="14" spans="1:11" x14ac:dyDescent="0.2">
      <c r="A14" s="6">
        <v>22.333333333333332</v>
      </c>
      <c r="B14" s="6">
        <v>73.266666666666666</v>
      </c>
      <c r="C14" s="6">
        <v>23.186830377444291</v>
      </c>
      <c r="E14" s="6">
        <v>22.333333333333332</v>
      </c>
      <c r="F14" s="8">
        <v>63.81428571428571</v>
      </c>
      <c r="G14" s="7">
        <v>23.19248797825632</v>
      </c>
    </row>
    <row r="15" spans="1:11" x14ac:dyDescent="0.2">
      <c r="A15" s="7">
        <v>22.5</v>
      </c>
      <c r="B15" s="7">
        <v>75.550000000000011</v>
      </c>
      <c r="C15" s="7">
        <v>23.902870725700208</v>
      </c>
      <c r="E15" s="7">
        <v>22.5</v>
      </c>
      <c r="F15" s="3">
        <v>64.372727272727261</v>
      </c>
      <c r="G15" s="3">
        <v>23.36</v>
      </c>
    </row>
    <row r="16" spans="1:11" x14ac:dyDescent="0.2">
      <c r="A16" s="6">
        <v>22.5</v>
      </c>
      <c r="B16" s="6">
        <v>72.733333333333334</v>
      </c>
      <c r="C16" s="6">
        <v>22.176004382761139</v>
      </c>
      <c r="E16" s="6">
        <v>22.5</v>
      </c>
      <c r="F16" s="8">
        <v>64.640000000000015</v>
      </c>
      <c r="G16" s="6">
        <v>23.377815762004179</v>
      </c>
    </row>
    <row r="17" spans="1:10" x14ac:dyDescent="0.2">
      <c r="A17" s="7">
        <v>22.6</v>
      </c>
      <c r="B17" s="7">
        <v>74.44</v>
      </c>
      <c r="C17" s="7">
        <v>23.19248797825632</v>
      </c>
      <c r="E17" s="7">
        <v>22.6</v>
      </c>
      <c r="F17" s="6">
        <v>64.75</v>
      </c>
      <c r="G17" s="3">
        <v>23.55474436863258</v>
      </c>
    </row>
    <row r="18" spans="1:10" x14ac:dyDescent="0.2">
      <c r="A18" s="3">
        <v>23</v>
      </c>
      <c r="B18" s="3">
        <v>62.75</v>
      </c>
      <c r="C18" s="3">
        <v>23.76663118527042</v>
      </c>
      <c r="E18" s="3">
        <v>23</v>
      </c>
      <c r="F18" s="3">
        <v>64.75</v>
      </c>
      <c r="G18" s="7">
        <v>23.561206788047137</v>
      </c>
    </row>
    <row r="19" spans="1:10" x14ac:dyDescent="0.2">
      <c r="A19" s="3">
        <v>23.142857142857142</v>
      </c>
      <c r="B19" s="3">
        <v>74.44285714285715</v>
      </c>
      <c r="C19" s="3">
        <v>26.005807618752261</v>
      </c>
      <c r="E19" s="3">
        <v>23.142857142857142</v>
      </c>
      <c r="F19" s="7">
        <v>64.862499999999997</v>
      </c>
      <c r="G19" s="3">
        <v>23.711053050397879</v>
      </c>
    </row>
    <row r="20" spans="1:10" x14ac:dyDescent="0.2">
      <c r="A20" s="3">
        <v>23.428571428571427</v>
      </c>
      <c r="B20" s="3">
        <v>70.05714285714285</v>
      </c>
      <c r="C20" s="3">
        <v>22.249936717068231</v>
      </c>
      <c r="E20" s="3">
        <v>23.428571428571427</v>
      </c>
      <c r="F20" s="7">
        <v>65.066666666666663</v>
      </c>
      <c r="G20" s="9">
        <v>23.750243749999999</v>
      </c>
    </row>
    <row r="21" spans="1:10" x14ac:dyDescent="0.2">
      <c r="A21" s="6">
        <v>23.5</v>
      </c>
      <c r="B21" s="6">
        <v>75.900000000000006</v>
      </c>
      <c r="C21" s="6">
        <v>23.377815762004179</v>
      </c>
      <c r="E21" s="6">
        <v>23.5</v>
      </c>
      <c r="F21" s="3">
        <v>65.075000000000003</v>
      </c>
      <c r="G21" s="3">
        <v>23.76262643433914</v>
      </c>
    </row>
    <row r="22" spans="1:10" x14ac:dyDescent="0.2">
      <c r="A22" s="7">
        <v>23.857142857142858</v>
      </c>
      <c r="B22" s="7">
        <v>73.228571428571414</v>
      </c>
      <c r="C22" s="7">
        <v>25.629146320346319</v>
      </c>
      <c r="E22" s="7">
        <v>23.857142857142858</v>
      </c>
      <c r="F22" s="8">
        <v>65.099999999999994</v>
      </c>
      <c r="G22" s="3">
        <v>23.76663118527042</v>
      </c>
    </row>
    <row r="23" spans="1:10" x14ac:dyDescent="0.2">
      <c r="A23" s="3">
        <v>24</v>
      </c>
      <c r="B23" s="3">
        <v>71.2</v>
      </c>
      <c r="C23" s="3">
        <v>21.87</v>
      </c>
      <c r="E23" s="3">
        <v>24</v>
      </c>
      <c r="F23" s="6">
        <v>65.266666666666666</v>
      </c>
      <c r="G23" s="7">
        <v>23.827910447761191</v>
      </c>
    </row>
    <row r="24" spans="1:10" x14ac:dyDescent="0.2">
      <c r="A24" s="3">
        <v>24</v>
      </c>
      <c r="B24" s="3">
        <v>70.933333333333337</v>
      </c>
      <c r="C24" s="3">
        <v>26.637670910978745</v>
      </c>
      <c r="E24" s="3">
        <v>24</v>
      </c>
      <c r="F24" s="6">
        <v>65.599999999999994</v>
      </c>
      <c r="G24" s="7">
        <v>23.902870725700208</v>
      </c>
    </row>
    <row r="25" spans="1:10" x14ac:dyDescent="0.2">
      <c r="A25" s="3">
        <v>24</v>
      </c>
      <c r="B25" s="3">
        <v>71.3</v>
      </c>
      <c r="C25" s="3">
        <v>23.36</v>
      </c>
      <c r="E25" s="3">
        <v>24</v>
      </c>
      <c r="F25" s="3">
        <v>65.599999999999994</v>
      </c>
      <c r="G25" s="9">
        <v>24.006467926404778</v>
      </c>
    </row>
    <row r="26" spans="1:10" x14ac:dyDescent="0.2">
      <c r="A26" s="7">
        <v>24</v>
      </c>
      <c r="B26" s="7">
        <v>73.3</v>
      </c>
      <c r="C26" s="7">
        <v>25.998222990286635</v>
      </c>
      <c r="E26" s="7">
        <v>24</v>
      </c>
      <c r="F26" s="7">
        <v>65.599999999999994</v>
      </c>
      <c r="G26" s="9">
        <v>24.029575843863082</v>
      </c>
      <c r="I26" s="34"/>
      <c r="J26" s="34"/>
    </row>
    <row r="27" spans="1:10" x14ac:dyDescent="0.2">
      <c r="A27" s="3">
        <v>24.5</v>
      </c>
      <c r="B27" s="3">
        <v>68.05</v>
      </c>
      <c r="C27" s="3">
        <v>28.726244131455399</v>
      </c>
      <c r="E27" s="3">
        <v>24.5</v>
      </c>
      <c r="F27" s="7">
        <v>65.650000000000006</v>
      </c>
      <c r="G27" s="3">
        <v>24.26</v>
      </c>
    </row>
    <row r="28" spans="1:10" x14ac:dyDescent="0.2">
      <c r="A28" s="8">
        <v>24.875</v>
      </c>
      <c r="B28" s="8">
        <v>70.3125</v>
      </c>
      <c r="C28" s="9">
        <v>26.11503854719891</v>
      </c>
      <c r="E28" s="8">
        <v>24.875</v>
      </c>
      <c r="F28" s="6">
        <v>65.9375</v>
      </c>
      <c r="G28" s="9">
        <v>24.270554246826329</v>
      </c>
    </row>
    <row r="29" spans="1:10" x14ac:dyDescent="0.2">
      <c r="A29" s="3">
        <v>25</v>
      </c>
      <c r="B29" s="3">
        <v>67.400000000000006</v>
      </c>
      <c r="C29" s="3">
        <v>27.702941176470585</v>
      </c>
      <c r="E29" s="3">
        <v>25</v>
      </c>
      <c r="F29" s="3">
        <v>66.044444444444437</v>
      </c>
      <c r="G29" s="9">
        <v>24.376758197498106</v>
      </c>
    </row>
    <row r="30" spans="1:10" x14ac:dyDescent="0.2">
      <c r="A30" s="8">
        <v>25.428571428571427</v>
      </c>
      <c r="B30" s="8">
        <v>63.81428571428571</v>
      </c>
      <c r="C30" s="9">
        <v>25.052921918077978</v>
      </c>
      <c r="E30" s="8">
        <v>25.428571428571427</v>
      </c>
      <c r="F30" s="6">
        <v>66.099999999999994</v>
      </c>
      <c r="G30" s="3">
        <v>24.507255423824496</v>
      </c>
    </row>
    <row r="31" spans="1:10" ht="16" thickBot="1" x14ac:dyDescent="0.25">
      <c r="A31" s="3">
        <v>25.5</v>
      </c>
      <c r="B31" s="3">
        <v>73.150000000000006</v>
      </c>
      <c r="C31" s="3">
        <v>24.964157263751762</v>
      </c>
      <c r="E31" s="3">
        <v>25.5</v>
      </c>
      <c r="F31" s="3">
        <v>66.324999999999989</v>
      </c>
      <c r="G31" s="7">
        <v>24.51295860566449</v>
      </c>
    </row>
    <row r="32" spans="1:10" x14ac:dyDescent="0.2">
      <c r="A32" s="7">
        <v>25.76923076923077</v>
      </c>
      <c r="B32" s="7">
        <v>70.07692307692308</v>
      </c>
      <c r="C32" s="7">
        <v>23.561206788047137</v>
      </c>
      <c r="E32" s="7">
        <v>25.76923076923077</v>
      </c>
      <c r="F32" s="6">
        <v>66.36</v>
      </c>
      <c r="G32" s="7">
        <v>24.545884874920773</v>
      </c>
      <c r="I32" s="33" t="s">
        <v>13</v>
      </c>
      <c r="J32" s="33" t="s">
        <v>15</v>
      </c>
    </row>
    <row r="33" spans="1:10" x14ac:dyDescent="0.2">
      <c r="A33" s="6">
        <v>25.875</v>
      </c>
      <c r="B33" s="6">
        <v>70.474999999999994</v>
      </c>
      <c r="C33" s="6">
        <v>26.690363867146186</v>
      </c>
      <c r="E33" s="6">
        <v>25.875</v>
      </c>
      <c r="F33" s="6">
        <v>66.533333333333346</v>
      </c>
      <c r="G33" s="7">
        <v>24.595444740159685</v>
      </c>
      <c r="I33">
        <v>20</v>
      </c>
      <c r="J33">
        <v>2</v>
      </c>
    </row>
    <row r="34" spans="1:10" x14ac:dyDescent="0.2">
      <c r="A34" s="7">
        <v>26.222222222222221</v>
      </c>
      <c r="B34" s="7">
        <v>75.48888888888888</v>
      </c>
      <c r="C34" s="7">
        <v>26.762539145154463</v>
      </c>
      <c r="E34" s="7">
        <v>26.222222222222221</v>
      </c>
      <c r="F34" s="7">
        <v>66.55</v>
      </c>
      <c r="G34" s="7">
        <v>24.787976845151956</v>
      </c>
      <c r="I34">
        <v>25</v>
      </c>
      <c r="J34">
        <v>26</v>
      </c>
    </row>
    <row r="35" spans="1:10" x14ac:dyDescent="0.2">
      <c r="A35" s="6">
        <v>26.222222222222221</v>
      </c>
      <c r="B35" s="6">
        <v>70.5</v>
      </c>
      <c r="C35" s="6">
        <v>25.161476213830305</v>
      </c>
      <c r="E35" s="6">
        <v>26.222222222222221</v>
      </c>
      <c r="F35" s="6">
        <v>66.75</v>
      </c>
      <c r="G35" s="9">
        <v>24.788382771651911</v>
      </c>
      <c r="I35">
        <v>30</v>
      </c>
      <c r="J35">
        <v>47</v>
      </c>
    </row>
    <row r="36" spans="1:10" x14ac:dyDescent="0.2">
      <c r="A36" s="6">
        <v>26.333333333333332</v>
      </c>
      <c r="B36" s="6">
        <v>72.62222222222222</v>
      </c>
      <c r="C36" s="6">
        <v>26.268570852998732</v>
      </c>
      <c r="E36" s="6">
        <v>26.333333333333332</v>
      </c>
      <c r="F36" s="8">
        <v>66.8</v>
      </c>
      <c r="G36" s="7">
        <v>24.858590512678333</v>
      </c>
      <c r="I36">
        <v>35</v>
      </c>
      <c r="J36">
        <v>79</v>
      </c>
    </row>
    <row r="37" spans="1:10" x14ac:dyDescent="0.2">
      <c r="A37" s="6">
        <v>26.352941176470587</v>
      </c>
      <c r="B37" s="6">
        <v>71.376470588235293</v>
      </c>
      <c r="C37" s="6">
        <v>24.902975101626012</v>
      </c>
      <c r="E37" s="6">
        <v>26.352941176470587</v>
      </c>
      <c r="F37" s="4">
        <v>66.833333333333329</v>
      </c>
      <c r="G37" s="3">
        <v>24.864729624720027</v>
      </c>
      <c r="I37">
        <v>40</v>
      </c>
      <c r="J37">
        <v>69</v>
      </c>
    </row>
    <row r="38" spans="1:10" ht="16" thickBot="1" x14ac:dyDescent="0.25">
      <c r="A38" s="7">
        <v>26.5</v>
      </c>
      <c r="B38" s="7">
        <v>71.487499999999997</v>
      </c>
      <c r="C38" s="7">
        <v>24.595444740159685</v>
      </c>
      <c r="E38" s="7">
        <v>26.5</v>
      </c>
      <c r="F38" s="6">
        <v>66.850000000000009</v>
      </c>
      <c r="G38" s="6">
        <v>24.902975101626012</v>
      </c>
      <c r="I38" s="32" t="s">
        <v>14</v>
      </c>
      <c r="J38" s="32">
        <v>0</v>
      </c>
    </row>
    <row r="39" spans="1:10" x14ac:dyDescent="0.2">
      <c r="A39" s="6">
        <v>26.5</v>
      </c>
      <c r="B39" s="6">
        <v>70.300000000000011</v>
      </c>
      <c r="C39" s="6">
        <v>26.195760146079991</v>
      </c>
      <c r="E39" s="6">
        <v>26.5</v>
      </c>
      <c r="F39" s="3">
        <v>66.940000000000012</v>
      </c>
      <c r="G39" s="7">
        <v>24.908953746717835</v>
      </c>
    </row>
    <row r="40" spans="1:10" x14ac:dyDescent="0.2">
      <c r="A40" s="3">
        <v>26.529411764705884</v>
      </c>
      <c r="B40" s="3">
        <v>74.168148463088926</v>
      </c>
      <c r="C40" s="3">
        <v>24.864729624720027</v>
      </c>
      <c r="E40" s="3">
        <v>26.529411764705884</v>
      </c>
      <c r="F40" s="3">
        <v>67</v>
      </c>
      <c r="G40" s="9">
        <v>24.95</v>
      </c>
    </row>
    <row r="41" spans="1:10" ht="16" thickBot="1" x14ac:dyDescent="0.25">
      <c r="A41" s="6">
        <v>26.6</v>
      </c>
      <c r="B41" s="6">
        <v>69.2</v>
      </c>
      <c r="C41" s="6">
        <v>27.037940005686668</v>
      </c>
      <c r="E41" s="6">
        <v>26.6</v>
      </c>
      <c r="F41" s="6">
        <v>67.075000000000003</v>
      </c>
      <c r="G41" s="3">
        <v>24.964157263751762</v>
      </c>
    </row>
    <row r="42" spans="1:10" x14ac:dyDescent="0.2">
      <c r="A42" s="7">
        <v>26.666666666666668</v>
      </c>
      <c r="B42" s="7">
        <v>68.466666666666654</v>
      </c>
      <c r="C42" s="7">
        <v>26.025115926942366</v>
      </c>
      <c r="E42" s="7">
        <v>26.666666666666668</v>
      </c>
      <c r="F42" s="8">
        <v>67.099999999999994</v>
      </c>
      <c r="G42" s="7">
        <v>24.993281828931806</v>
      </c>
      <c r="I42" s="33" t="s">
        <v>13</v>
      </c>
      <c r="J42" s="33" t="s">
        <v>15</v>
      </c>
    </row>
    <row r="43" spans="1:10" x14ac:dyDescent="0.2">
      <c r="A43" s="7">
        <v>26.875</v>
      </c>
      <c r="B43" s="7">
        <v>68.387499999999989</v>
      </c>
      <c r="C43" s="7">
        <v>26.483220707656617</v>
      </c>
      <c r="E43" s="7">
        <v>26.875</v>
      </c>
      <c r="F43" s="3">
        <v>67.400000000000006</v>
      </c>
      <c r="G43" s="9">
        <v>25.052921918077978</v>
      </c>
      <c r="I43">
        <v>60</v>
      </c>
      <c r="J43">
        <v>2</v>
      </c>
    </row>
    <row r="44" spans="1:10" x14ac:dyDescent="0.2">
      <c r="A44" s="6">
        <v>27</v>
      </c>
      <c r="B44" s="6">
        <v>66.36</v>
      </c>
      <c r="C44" s="6">
        <v>28.301973549488054</v>
      </c>
      <c r="E44" s="6">
        <v>27</v>
      </c>
      <c r="F44" s="7">
        <v>67.400000000000006</v>
      </c>
      <c r="G44" s="9">
        <v>25.057433344908745</v>
      </c>
      <c r="I44">
        <v>65</v>
      </c>
      <c r="J44">
        <v>16</v>
      </c>
    </row>
    <row r="45" spans="1:10" x14ac:dyDescent="0.2">
      <c r="A45" s="3">
        <v>27.125</v>
      </c>
      <c r="B45" s="3">
        <v>73.599999999999994</v>
      </c>
      <c r="C45" s="3">
        <v>26.028269191693422</v>
      </c>
      <c r="E45" s="3">
        <v>27.125</v>
      </c>
      <c r="F45" s="7">
        <v>67.434999999999974</v>
      </c>
      <c r="G45" s="9">
        <v>25.064934278085847</v>
      </c>
      <c r="I45">
        <v>70</v>
      </c>
      <c r="J45">
        <v>71</v>
      </c>
    </row>
    <row r="46" spans="1:10" x14ac:dyDescent="0.2">
      <c r="A46" s="8">
        <v>27.2</v>
      </c>
      <c r="B46" s="8">
        <v>70.3</v>
      </c>
      <c r="C46" s="9">
        <v>25.064934278085847</v>
      </c>
      <c r="E46" s="8">
        <v>27.2</v>
      </c>
      <c r="F46" s="7">
        <v>67.525000000000006</v>
      </c>
      <c r="G46" s="9">
        <v>25.093164875371595</v>
      </c>
      <c r="I46">
        <v>75</v>
      </c>
      <c r="J46">
        <v>111</v>
      </c>
    </row>
    <row r="47" spans="1:10" x14ac:dyDescent="0.2">
      <c r="A47" s="3">
        <v>27.25</v>
      </c>
      <c r="B47" s="3">
        <v>72.150000000000006</v>
      </c>
      <c r="C47" s="3">
        <v>25.822193323368207</v>
      </c>
      <c r="E47" s="3">
        <v>27.25</v>
      </c>
      <c r="F47" s="7">
        <v>67.599999999999994</v>
      </c>
      <c r="G47" s="6">
        <v>25.161476213830305</v>
      </c>
      <c r="I47">
        <v>80</v>
      </c>
      <c r="J47">
        <v>22</v>
      </c>
    </row>
    <row r="48" spans="1:10" ht="16" thickBot="1" x14ac:dyDescent="0.25">
      <c r="A48" s="3">
        <v>27.25</v>
      </c>
      <c r="B48" s="3">
        <v>66.324999999999989</v>
      </c>
      <c r="C48" s="3">
        <v>23.711053050397879</v>
      </c>
      <c r="E48" s="3">
        <v>27.25</v>
      </c>
      <c r="F48" s="6">
        <v>67.599999999999994</v>
      </c>
      <c r="G48" s="6">
        <v>25.316563380281686</v>
      </c>
      <c r="I48" s="32" t="s">
        <v>14</v>
      </c>
      <c r="J48" s="32">
        <v>1</v>
      </c>
    </row>
    <row r="49" spans="1:10" x14ac:dyDescent="0.2">
      <c r="A49" s="7">
        <v>27.25</v>
      </c>
      <c r="B49" s="7">
        <v>71.581250000000011</v>
      </c>
      <c r="C49" s="7">
        <v>24.545884874920773</v>
      </c>
      <c r="E49" s="7">
        <v>27.25</v>
      </c>
      <c r="F49" s="7">
        <v>67.61666666666666</v>
      </c>
      <c r="G49" s="7">
        <v>25.32</v>
      </c>
    </row>
    <row r="50" spans="1:10" x14ac:dyDescent="0.2">
      <c r="A50" s="3">
        <v>27.4</v>
      </c>
      <c r="B50" s="3">
        <v>69.740000000000009</v>
      </c>
      <c r="C50" s="3">
        <v>24.507255423824496</v>
      </c>
      <c r="E50" s="3">
        <v>27.4</v>
      </c>
      <c r="F50" s="8">
        <v>67.65384615384616</v>
      </c>
      <c r="G50" s="3">
        <v>25.339209982076383</v>
      </c>
    </row>
    <row r="51" spans="1:10" ht="16" thickBot="1" x14ac:dyDescent="0.25">
      <c r="A51" s="7">
        <v>27.5</v>
      </c>
      <c r="B51" s="7">
        <v>76.825000000000003</v>
      </c>
      <c r="C51" s="7">
        <v>28.00581874061897</v>
      </c>
      <c r="E51" s="7">
        <v>27.5</v>
      </c>
      <c r="F51" s="6">
        <v>67.711111111111109</v>
      </c>
      <c r="G51" s="6">
        <v>25.340490812873337</v>
      </c>
    </row>
    <row r="52" spans="1:10" x14ac:dyDescent="0.2">
      <c r="A52" s="8">
        <v>27.5</v>
      </c>
      <c r="B52" s="8">
        <v>75.95</v>
      </c>
      <c r="C52" s="9">
        <v>23.750243749999999</v>
      </c>
      <c r="E52" s="8">
        <v>27.5</v>
      </c>
      <c r="F52" s="6">
        <v>67.849999999999994</v>
      </c>
      <c r="G52" s="6">
        <v>25.460742835111173</v>
      </c>
      <c r="I52" s="33" t="s">
        <v>13</v>
      </c>
      <c r="J52" s="33" t="s">
        <v>15</v>
      </c>
    </row>
    <row r="53" spans="1:10" x14ac:dyDescent="0.2">
      <c r="A53" s="8">
        <v>27.666666666666668</v>
      </c>
      <c r="B53" s="8">
        <v>68.466666666666669</v>
      </c>
      <c r="C53" s="9">
        <v>24.376758197498106</v>
      </c>
      <c r="E53" s="8">
        <v>27.666666666666668</v>
      </c>
      <c r="F53" s="8">
        <v>68</v>
      </c>
      <c r="G53" s="6">
        <v>25.553889343145272</v>
      </c>
      <c r="I53">
        <v>20</v>
      </c>
      <c r="J53">
        <v>0</v>
      </c>
    </row>
    <row r="54" spans="1:10" x14ac:dyDescent="0.2">
      <c r="A54" s="6">
        <v>27.857142857142858</v>
      </c>
      <c r="B54" s="6">
        <v>69.271428571428558</v>
      </c>
      <c r="C54" s="6">
        <v>27.374474002418378</v>
      </c>
      <c r="E54" s="6">
        <v>27.857142857142858</v>
      </c>
      <c r="F54" s="3">
        <v>68.05</v>
      </c>
      <c r="G54" s="7">
        <v>25.629146320346319</v>
      </c>
      <c r="I54">
        <v>25</v>
      </c>
      <c r="J54">
        <v>41</v>
      </c>
    </row>
    <row r="55" spans="1:10" x14ac:dyDescent="0.2">
      <c r="A55" s="3">
        <v>27.888888888888889</v>
      </c>
      <c r="B55" s="3">
        <v>69.477777777777774</v>
      </c>
      <c r="C55" s="3">
        <v>26.33716547596061</v>
      </c>
      <c r="E55" s="3">
        <v>27.888888888888889</v>
      </c>
      <c r="F55" s="6">
        <v>68.06</v>
      </c>
      <c r="G55" s="3">
        <v>25.773047214911099</v>
      </c>
      <c r="I55">
        <v>30</v>
      </c>
      <c r="J55">
        <v>135</v>
      </c>
    </row>
    <row r="56" spans="1:10" x14ac:dyDescent="0.2">
      <c r="A56" s="3">
        <v>28</v>
      </c>
      <c r="B56" s="3">
        <v>65.075000000000003</v>
      </c>
      <c r="C56" s="3">
        <v>26.229518672558701</v>
      </c>
      <c r="E56" s="3">
        <v>28</v>
      </c>
      <c r="F56" s="3">
        <v>68.180000000000007</v>
      </c>
      <c r="G56" s="3">
        <v>25.822193323368207</v>
      </c>
      <c r="I56">
        <v>35</v>
      </c>
      <c r="J56">
        <v>47</v>
      </c>
    </row>
    <row r="57" spans="1:10" ht="16" thickBot="1" x14ac:dyDescent="0.25">
      <c r="A57" s="7">
        <v>28</v>
      </c>
      <c r="B57" s="7">
        <v>73.599999999999994</v>
      </c>
      <c r="C57" s="7">
        <v>22.674409521118804</v>
      </c>
      <c r="E57" s="7">
        <v>28</v>
      </c>
      <c r="F57" s="3">
        <v>68.320000000000007</v>
      </c>
      <c r="G57" s="7">
        <v>25.85303070527824</v>
      </c>
      <c r="I57" s="32" t="s">
        <v>14</v>
      </c>
      <c r="J57" s="32">
        <v>0</v>
      </c>
    </row>
    <row r="58" spans="1:10" x14ac:dyDescent="0.2">
      <c r="A58" s="8">
        <v>28.142857142857142</v>
      </c>
      <c r="B58" s="8">
        <v>72.728571428571428</v>
      </c>
      <c r="C58" s="9">
        <v>24.029575843863082</v>
      </c>
      <c r="E58" s="8">
        <v>28.142857142857142</v>
      </c>
      <c r="F58" s="7">
        <v>68.349999999999994</v>
      </c>
      <c r="G58" s="3">
        <v>25.854515274141082</v>
      </c>
    </row>
    <row r="59" spans="1:10" x14ac:dyDescent="0.2">
      <c r="A59" s="3">
        <v>28.5</v>
      </c>
      <c r="B59" s="3">
        <v>61.15</v>
      </c>
      <c r="C59" s="3">
        <v>29.15726120556414</v>
      </c>
      <c r="E59" s="3">
        <v>28.5</v>
      </c>
      <c r="F59" s="3">
        <v>68.38000000000001</v>
      </c>
      <c r="G59" s="3">
        <v>25.87829525152797</v>
      </c>
    </row>
    <row r="60" spans="1:10" x14ac:dyDescent="0.2">
      <c r="A60" s="8">
        <v>28.5</v>
      </c>
      <c r="B60" s="8">
        <v>70.449999999999989</v>
      </c>
      <c r="C60" s="9">
        <v>24.270554246826329</v>
      </c>
      <c r="E60" s="8">
        <v>28.5</v>
      </c>
      <c r="F60" s="7">
        <v>68.387499999999989</v>
      </c>
      <c r="G60" s="7">
        <v>25.887215548721887</v>
      </c>
    </row>
    <row r="61" spans="1:10" x14ac:dyDescent="0.2">
      <c r="A61" s="7">
        <v>28.7</v>
      </c>
      <c r="B61" s="7">
        <v>69.040000000000006</v>
      </c>
      <c r="C61" s="7">
        <v>28.350624332459471</v>
      </c>
      <c r="E61" s="7">
        <v>28.7</v>
      </c>
      <c r="F61" s="7">
        <v>68.424999999999997</v>
      </c>
      <c r="G61" s="7">
        <v>25.925338235294117</v>
      </c>
    </row>
    <row r="62" spans="1:10" x14ac:dyDescent="0.2">
      <c r="A62" s="7">
        <v>29</v>
      </c>
      <c r="B62" s="7">
        <v>72.349999999999994</v>
      </c>
      <c r="C62" s="7">
        <v>23.827910447761191</v>
      </c>
      <c r="E62" s="7">
        <v>29</v>
      </c>
      <c r="F62" s="3">
        <v>68.433333333333323</v>
      </c>
      <c r="G62" s="7">
        <v>25.998222990286635</v>
      </c>
    </row>
    <row r="63" spans="1:10" x14ac:dyDescent="0.2">
      <c r="A63" s="7">
        <v>29.2</v>
      </c>
      <c r="B63" s="7">
        <v>73.899999999999991</v>
      </c>
      <c r="C63" s="7">
        <v>27.578504858538682</v>
      </c>
      <c r="E63" s="7">
        <v>29.2</v>
      </c>
      <c r="F63" s="7">
        <v>68.466666666666654</v>
      </c>
      <c r="G63" s="3">
        <v>26.005807618752261</v>
      </c>
    </row>
    <row r="64" spans="1:10" x14ac:dyDescent="0.2">
      <c r="A64" s="3">
        <v>29.285714285714285</v>
      </c>
      <c r="B64" s="3">
        <v>73.349999999999994</v>
      </c>
      <c r="C64" s="3">
        <v>27.141374828278554</v>
      </c>
      <c r="E64" s="3">
        <v>29.285714285714285</v>
      </c>
      <c r="F64" s="8">
        <v>68.466666666666669</v>
      </c>
      <c r="G64" s="7">
        <v>26.025115926942366</v>
      </c>
    </row>
    <row r="65" spans="1:7" x14ac:dyDescent="0.2">
      <c r="A65" s="7">
        <v>29.333333333333332</v>
      </c>
      <c r="B65" s="7">
        <v>71.100000000000009</v>
      </c>
      <c r="C65" s="7">
        <v>25.887215548721887</v>
      </c>
      <c r="E65" s="7">
        <v>29.333333333333332</v>
      </c>
      <c r="F65" s="7">
        <v>68.466666666666669</v>
      </c>
      <c r="G65" s="3">
        <v>26.028269191693422</v>
      </c>
    </row>
    <row r="66" spans="1:7" x14ac:dyDescent="0.2">
      <c r="A66" s="6">
        <v>29.6</v>
      </c>
      <c r="B66" s="6">
        <v>68.06</v>
      </c>
      <c r="C66" s="6">
        <v>25.316563380281686</v>
      </c>
      <c r="E66" s="6">
        <v>29.6</v>
      </c>
      <c r="F66" s="3">
        <v>68.84</v>
      </c>
      <c r="G66" s="7">
        <v>26.033322784810132</v>
      </c>
    </row>
    <row r="67" spans="1:7" x14ac:dyDescent="0.2">
      <c r="A67" s="6">
        <v>29.75</v>
      </c>
      <c r="B67" s="6">
        <v>73.824999999999989</v>
      </c>
      <c r="C67" s="6">
        <v>26.79330130597015</v>
      </c>
      <c r="E67" s="6">
        <v>29.75</v>
      </c>
      <c r="F67" s="6">
        <v>68.899999999999991</v>
      </c>
      <c r="G67" s="3">
        <v>26.085352855379785</v>
      </c>
    </row>
    <row r="68" spans="1:7" x14ac:dyDescent="0.2">
      <c r="A68" s="7">
        <v>29.785714285714285</v>
      </c>
      <c r="B68" s="7">
        <v>69.285714285714292</v>
      </c>
      <c r="C68" s="7">
        <v>26.754019527465157</v>
      </c>
      <c r="E68" s="7">
        <v>29.785714285714285</v>
      </c>
      <c r="F68" s="3">
        <v>68.911764705882348</v>
      </c>
      <c r="G68" s="9">
        <v>26.11503854719891</v>
      </c>
    </row>
    <row r="69" spans="1:7" x14ac:dyDescent="0.2">
      <c r="A69" s="6">
        <v>29.8</v>
      </c>
      <c r="B69" s="6">
        <v>69.48</v>
      </c>
      <c r="C69" s="6">
        <v>27.748289283003242</v>
      </c>
      <c r="E69" s="6">
        <v>29.8</v>
      </c>
      <c r="F69" s="7">
        <v>69</v>
      </c>
      <c r="G69" s="7">
        <v>26.172400269239404</v>
      </c>
    </row>
    <row r="70" spans="1:7" x14ac:dyDescent="0.2">
      <c r="A70" s="6">
        <v>29.888888888888889</v>
      </c>
      <c r="B70" s="6">
        <v>67.711111111111109</v>
      </c>
      <c r="C70" s="6">
        <v>29.393976408912195</v>
      </c>
      <c r="E70" s="6">
        <v>29.888888888888889</v>
      </c>
      <c r="F70" s="7">
        <v>69.040000000000006</v>
      </c>
      <c r="G70" s="3">
        <v>26.192447266024985</v>
      </c>
    </row>
    <row r="71" spans="1:7" x14ac:dyDescent="0.2">
      <c r="A71" s="6">
        <v>29.9</v>
      </c>
      <c r="B71" s="6">
        <v>67.849999999999994</v>
      </c>
      <c r="C71" s="6">
        <v>27.43940556731911</v>
      </c>
      <c r="E71" s="6">
        <v>29.9</v>
      </c>
      <c r="F71" s="6">
        <v>69.2</v>
      </c>
      <c r="G71" s="6">
        <v>26.195760146079991</v>
      </c>
    </row>
    <row r="72" spans="1:7" x14ac:dyDescent="0.2">
      <c r="A72" s="7">
        <v>30</v>
      </c>
      <c r="B72" s="7">
        <v>73.333333333333329</v>
      </c>
      <c r="C72" s="7">
        <v>27.039465621010397</v>
      </c>
      <c r="E72" s="7">
        <v>30</v>
      </c>
      <c r="F72" s="7">
        <v>69.249999999999986</v>
      </c>
      <c r="G72" s="3">
        <v>26.229518672558701</v>
      </c>
    </row>
    <row r="73" spans="1:7" x14ac:dyDescent="0.2">
      <c r="A73" s="7">
        <v>30</v>
      </c>
      <c r="B73" s="7">
        <v>68.349999999999994</v>
      </c>
      <c r="C73" s="7">
        <v>26.033322784810132</v>
      </c>
      <c r="E73" s="7">
        <v>30</v>
      </c>
      <c r="F73" s="6">
        <v>69.271428571428558</v>
      </c>
      <c r="G73" s="7">
        <v>26.240086037185566</v>
      </c>
    </row>
    <row r="74" spans="1:7" x14ac:dyDescent="0.2">
      <c r="A74" s="7">
        <v>30</v>
      </c>
      <c r="B74" s="7">
        <v>70.75</v>
      </c>
      <c r="C74" s="7">
        <v>26.79839466631806</v>
      </c>
      <c r="E74" s="7">
        <v>30</v>
      </c>
      <c r="F74" s="7">
        <v>69.277777777777771</v>
      </c>
      <c r="G74" s="6">
        <v>26.268570852998732</v>
      </c>
    </row>
    <row r="75" spans="1:7" x14ac:dyDescent="0.2">
      <c r="A75" s="6">
        <v>30</v>
      </c>
      <c r="B75" s="6">
        <v>62</v>
      </c>
      <c r="C75" s="6">
        <v>25.460742835111173</v>
      </c>
      <c r="E75" s="6">
        <v>30</v>
      </c>
      <c r="F75" s="7">
        <v>69.285714285714292</v>
      </c>
      <c r="G75" s="9">
        <v>26.28215353544223</v>
      </c>
    </row>
    <row r="76" spans="1:7" x14ac:dyDescent="0.2">
      <c r="A76" s="6">
        <v>30</v>
      </c>
      <c r="B76" s="6">
        <v>56.9</v>
      </c>
      <c r="C76" s="6">
        <v>29.42</v>
      </c>
      <c r="E76" s="6">
        <v>30</v>
      </c>
      <c r="F76" s="8">
        <v>69.3</v>
      </c>
      <c r="G76" s="3">
        <v>26.319447386175451</v>
      </c>
    </row>
    <row r="77" spans="1:7" x14ac:dyDescent="0.2">
      <c r="A77" s="6">
        <v>30.333333333333332</v>
      </c>
      <c r="B77" s="6">
        <v>70</v>
      </c>
      <c r="C77" s="6">
        <v>28.829069604534162</v>
      </c>
      <c r="E77" s="6">
        <v>30.333333333333332</v>
      </c>
      <c r="F77" s="7">
        <v>69.34545454545453</v>
      </c>
      <c r="G77" s="3">
        <v>26.32103787327021</v>
      </c>
    </row>
    <row r="78" spans="1:7" x14ac:dyDescent="0.2">
      <c r="A78" s="7">
        <v>30.35</v>
      </c>
      <c r="B78" s="7">
        <v>67.525000000000006</v>
      </c>
      <c r="C78" s="7">
        <v>27.892785839379535</v>
      </c>
      <c r="E78" s="7">
        <v>30.35</v>
      </c>
      <c r="F78" s="7">
        <v>69.349999999999994</v>
      </c>
      <c r="G78" s="3">
        <v>26.33716547596061</v>
      </c>
    </row>
    <row r="79" spans="1:7" x14ac:dyDescent="0.2">
      <c r="A79" s="3">
        <v>30.5</v>
      </c>
      <c r="B79" s="3">
        <v>75.900000000000006</v>
      </c>
      <c r="C79" s="3">
        <v>28.054100620612473</v>
      </c>
      <c r="E79" s="3">
        <v>30.5</v>
      </c>
      <c r="F79" s="3">
        <v>69.44</v>
      </c>
      <c r="G79" s="7">
        <v>26.483220707656617</v>
      </c>
    </row>
    <row r="80" spans="1:7" x14ac:dyDescent="0.2">
      <c r="A80" s="7">
        <v>30.5</v>
      </c>
      <c r="B80" s="7">
        <v>69.749999999999986</v>
      </c>
      <c r="C80" s="7">
        <v>26.172400269239404</v>
      </c>
      <c r="E80" s="7">
        <v>30.5</v>
      </c>
      <c r="F80" s="3">
        <v>69.477777777777774</v>
      </c>
      <c r="G80" s="3">
        <v>26.637670910978745</v>
      </c>
    </row>
    <row r="81" spans="1:7" x14ac:dyDescent="0.2">
      <c r="A81" s="7">
        <v>30.555555555555557</v>
      </c>
      <c r="B81" s="7">
        <v>68.466666666666669</v>
      </c>
      <c r="C81" s="7">
        <v>27.7209878945093</v>
      </c>
      <c r="E81" s="7">
        <v>30.555555555555557</v>
      </c>
      <c r="F81" s="6">
        <v>69.48</v>
      </c>
      <c r="G81" s="3">
        <v>26.649733574706964</v>
      </c>
    </row>
    <row r="82" spans="1:7" x14ac:dyDescent="0.2">
      <c r="A82" s="3">
        <v>30.666666666666668</v>
      </c>
      <c r="B82" s="3">
        <v>70.577777777777797</v>
      </c>
      <c r="C82" s="3">
        <v>26.649733574706964</v>
      </c>
      <c r="E82" s="3">
        <v>30.666666666666668</v>
      </c>
      <c r="F82" s="4">
        <v>69.544117647058812</v>
      </c>
      <c r="G82" s="6">
        <v>26.690363867146186</v>
      </c>
    </row>
    <row r="83" spans="1:7" x14ac:dyDescent="0.2">
      <c r="A83" s="3">
        <v>30.7</v>
      </c>
      <c r="B83" s="3">
        <v>80.400000000000006</v>
      </c>
      <c r="C83" s="3">
        <v>26.80319895580832</v>
      </c>
      <c r="E83" s="3">
        <v>30.7</v>
      </c>
      <c r="F83" s="6">
        <v>69.609090909090909</v>
      </c>
      <c r="G83" s="3">
        <v>26.707983946627749</v>
      </c>
    </row>
    <row r="84" spans="1:7" x14ac:dyDescent="0.2">
      <c r="A84" s="8">
        <v>30.833333333333332</v>
      </c>
      <c r="B84" s="8">
        <v>72.833333333333329</v>
      </c>
      <c r="C84" s="9">
        <v>24.006467926404778</v>
      </c>
      <c r="E84" s="8">
        <v>30.833333333333332</v>
      </c>
      <c r="F84" s="6">
        <v>69.666666666666671</v>
      </c>
      <c r="G84" s="3">
        <v>26.732114996280156</v>
      </c>
    </row>
    <row r="85" spans="1:7" x14ac:dyDescent="0.2">
      <c r="A85" s="6">
        <v>30.944444444444443</v>
      </c>
      <c r="B85" s="6">
        <v>74.938888888888883</v>
      </c>
      <c r="C85" s="6">
        <v>25.340490812873337</v>
      </c>
      <c r="E85" s="6">
        <v>30.944444444444443</v>
      </c>
      <c r="F85" s="3">
        <v>69.712499999999991</v>
      </c>
      <c r="G85" s="7">
        <v>26.754019527465157</v>
      </c>
    </row>
    <row r="86" spans="1:7" x14ac:dyDescent="0.2">
      <c r="A86" s="3">
        <v>31</v>
      </c>
      <c r="B86" s="3">
        <v>77.325000000000003</v>
      </c>
      <c r="C86" s="3">
        <v>26.085352855379785</v>
      </c>
      <c r="E86" s="3">
        <v>31</v>
      </c>
      <c r="F86" s="3">
        <v>69.740000000000009</v>
      </c>
      <c r="G86" s="7">
        <v>26.762539145154463</v>
      </c>
    </row>
    <row r="87" spans="1:7" x14ac:dyDescent="0.2">
      <c r="A87" s="7">
        <v>31</v>
      </c>
      <c r="B87" s="7">
        <v>73</v>
      </c>
      <c r="C87" s="7">
        <v>27.798992486851986</v>
      </c>
      <c r="E87" s="7">
        <v>31</v>
      </c>
      <c r="F87" s="7">
        <v>69.749999999999986</v>
      </c>
      <c r="G87" s="6">
        <v>26.79330130597015</v>
      </c>
    </row>
    <row r="88" spans="1:7" x14ac:dyDescent="0.2">
      <c r="A88" s="6">
        <v>31</v>
      </c>
      <c r="B88" s="6">
        <v>72.816666666666663</v>
      </c>
      <c r="C88" s="6">
        <v>27.100204358645659</v>
      </c>
      <c r="E88" s="6">
        <v>31</v>
      </c>
      <c r="F88" s="3">
        <v>69.84</v>
      </c>
      <c r="G88" s="7">
        <v>26.79839466631806</v>
      </c>
    </row>
    <row r="89" spans="1:7" x14ac:dyDescent="0.2">
      <c r="A89" s="7">
        <v>31.181818181818183</v>
      </c>
      <c r="B89" s="7">
        <v>72.590909090909108</v>
      </c>
      <c r="C89" s="7">
        <v>27.575050281660751</v>
      </c>
      <c r="E89" s="7">
        <v>31.181818181818183</v>
      </c>
      <c r="F89" s="8">
        <v>69.983333333333334</v>
      </c>
      <c r="G89" s="3">
        <v>26.80319895580832</v>
      </c>
    </row>
    <row r="90" spans="1:7" x14ac:dyDescent="0.2">
      <c r="A90" s="7">
        <v>31.333333333333332</v>
      </c>
      <c r="B90" s="7">
        <v>69.277777777777771</v>
      </c>
      <c r="C90" s="7">
        <v>24.787976845151956</v>
      </c>
      <c r="E90" s="7">
        <v>31.333333333333332</v>
      </c>
      <c r="F90" s="6">
        <v>70</v>
      </c>
      <c r="G90" s="7">
        <v>26.809047524160608</v>
      </c>
    </row>
    <row r="91" spans="1:7" x14ac:dyDescent="0.2">
      <c r="A91" s="6">
        <v>31.5</v>
      </c>
      <c r="B91" s="6">
        <v>66.75</v>
      </c>
      <c r="C91" s="6">
        <v>32.136571575872139</v>
      </c>
      <c r="E91" s="6">
        <v>31.5</v>
      </c>
      <c r="F91" s="7">
        <v>70.048648648648637</v>
      </c>
      <c r="G91" s="7">
        <v>26.82191489361702</v>
      </c>
    </row>
    <row r="92" spans="1:7" x14ac:dyDescent="0.2">
      <c r="A92" s="3">
        <v>31.6</v>
      </c>
      <c r="B92" s="3">
        <v>71.2</v>
      </c>
      <c r="C92" s="3">
        <v>28.738090878642407</v>
      </c>
      <c r="E92" s="3">
        <v>31.6</v>
      </c>
      <c r="F92" s="3">
        <v>70.05714285714285</v>
      </c>
      <c r="G92" s="7">
        <v>26.842666894664841</v>
      </c>
    </row>
    <row r="93" spans="1:7" x14ac:dyDescent="0.2">
      <c r="A93" s="3">
        <v>31.666666666666668</v>
      </c>
      <c r="B93" s="3">
        <v>66.044444444444437</v>
      </c>
      <c r="C93" s="3">
        <v>29.572039361751045</v>
      </c>
      <c r="E93" s="3">
        <v>31.666666666666668</v>
      </c>
      <c r="F93" s="7">
        <v>70.07692307692308</v>
      </c>
      <c r="G93" s="6">
        <v>27.037940005686668</v>
      </c>
    </row>
    <row r="94" spans="1:7" x14ac:dyDescent="0.2">
      <c r="A94" s="6">
        <v>31.714285714285715</v>
      </c>
      <c r="B94" s="6">
        <v>65.599999999999994</v>
      </c>
      <c r="C94" s="6">
        <v>27.178137855236301</v>
      </c>
      <c r="E94" s="6">
        <v>31.714285714285715</v>
      </c>
      <c r="F94" s="8">
        <v>70.13333333333334</v>
      </c>
      <c r="G94" s="7">
        <v>27.039465621010397</v>
      </c>
    </row>
    <row r="95" spans="1:7" x14ac:dyDescent="0.2">
      <c r="A95" s="3">
        <v>32</v>
      </c>
      <c r="B95" s="3">
        <v>75.966666666666669</v>
      </c>
      <c r="C95" s="3">
        <v>25.87829525152797</v>
      </c>
      <c r="E95" s="3">
        <v>32</v>
      </c>
      <c r="F95" s="7">
        <v>70.166666666666686</v>
      </c>
      <c r="G95" s="6">
        <v>27.100204358645659</v>
      </c>
    </row>
    <row r="96" spans="1:7" x14ac:dyDescent="0.2">
      <c r="A96" s="3">
        <v>32</v>
      </c>
      <c r="B96" s="3">
        <v>72.223076923076917</v>
      </c>
      <c r="C96" s="3">
        <v>26.32103787327021</v>
      </c>
      <c r="E96" s="3">
        <v>32</v>
      </c>
      <c r="F96" s="7">
        <v>70.185714285714283</v>
      </c>
      <c r="G96" s="7">
        <v>27.134010649126921</v>
      </c>
    </row>
    <row r="97" spans="1:7" x14ac:dyDescent="0.2">
      <c r="A97" s="6">
        <v>32</v>
      </c>
      <c r="B97" s="6">
        <v>66.850000000000009</v>
      </c>
      <c r="C97" s="6">
        <v>28.257793472966391</v>
      </c>
      <c r="E97" s="6">
        <v>32</v>
      </c>
      <c r="F97" s="3">
        <v>70.1875</v>
      </c>
      <c r="G97" s="3">
        <v>27.141374828278554</v>
      </c>
    </row>
    <row r="98" spans="1:7" x14ac:dyDescent="0.2">
      <c r="A98" s="8">
        <v>32</v>
      </c>
      <c r="B98" s="8">
        <v>69.983333333333334</v>
      </c>
      <c r="C98" s="9">
        <v>25.057433344908745</v>
      </c>
      <c r="E98" s="8">
        <v>32</v>
      </c>
      <c r="F98" s="7">
        <v>70.25</v>
      </c>
      <c r="G98" s="6">
        <v>27.178137855236301</v>
      </c>
    </row>
    <row r="99" spans="1:7" x14ac:dyDescent="0.2">
      <c r="A99" s="3">
        <v>32.18181818181818</v>
      </c>
      <c r="B99" s="3">
        <v>64.372727272727261</v>
      </c>
      <c r="C99" s="3">
        <v>29.637322807884814</v>
      </c>
      <c r="E99" s="3">
        <v>32.18181818181818</v>
      </c>
      <c r="F99" s="8">
        <v>70.3</v>
      </c>
      <c r="G99" s="6">
        <v>27.36298410790598</v>
      </c>
    </row>
    <row r="100" spans="1:7" x14ac:dyDescent="0.2">
      <c r="A100" s="3">
        <v>32.352941176470587</v>
      </c>
      <c r="B100" s="3">
        <v>71.199999999999989</v>
      </c>
      <c r="C100" s="3">
        <v>28.89601869937756</v>
      </c>
      <c r="E100" s="3">
        <v>32.352941176470587</v>
      </c>
      <c r="F100" s="6">
        <v>70.300000000000011</v>
      </c>
      <c r="G100" s="6">
        <v>27.374474002418378</v>
      </c>
    </row>
    <row r="101" spans="1:7" x14ac:dyDescent="0.2">
      <c r="A101" s="3">
        <v>32.375</v>
      </c>
      <c r="B101" s="3">
        <v>72.943749999999994</v>
      </c>
      <c r="C101" s="3">
        <v>28.795678870989214</v>
      </c>
      <c r="E101" s="3">
        <v>32.375</v>
      </c>
      <c r="F101" s="8">
        <v>70.3125</v>
      </c>
      <c r="G101" s="6">
        <v>27.43940556731911</v>
      </c>
    </row>
    <row r="102" spans="1:7" x14ac:dyDescent="0.2">
      <c r="A102" s="3">
        <v>32.4</v>
      </c>
      <c r="B102" s="3">
        <v>74.460000000000008</v>
      </c>
      <c r="C102" s="3">
        <v>26.192447266024985</v>
      </c>
      <c r="E102" s="3">
        <v>32.4</v>
      </c>
      <c r="F102" s="7">
        <v>70.357142857142861</v>
      </c>
      <c r="G102" s="9">
        <v>27.508698410181189</v>
      </c>
    </row>
    <row r="103" spans="1:7" x14ac:dyDescent="0.2">
      <c r="A103" s="8">
        <v>32.5</v>
      </c>
      <c r="B103" s="8">
        <v>76.3</v>
      </c>
      <c r="C103" s="9">
        <v>31.026247712019526</v>
      </c>
      <c r="E103" s="8">
        <v>32.5</v>
      </c>
      <c r="F103" s="3">
        <v>70.428571428571431</v>
      </c>
      <c r="G103" s="3">
        <v>27.510615719406047</v>
      </c>
    </row>
    <row r="104" spans="1:7" x14ac:dyDescent="0.2">
      <c r="A104" s="7">
        <v>32.571428571428569</v>
      </c>
      <c r="B104" s="7">
        <v>74.614285714285714</v>
      </c>
      <c r="C104" s="7">
        <v>29.326910378443007</v>
      </c>
      <c r="E104" s="7">
        <v>32.571428571428569</v>
      </c>
      <c r="F104" s="7">
        <v>70.444444444444443</v>
      </c>
      <c r="G104" s="7">
        <v>27.523846280357439</v>
      </c>
    </row>
    <row r="105" spans="1:7" x14ac:dyDescent="0.2">
      <c r="A105" s="7">
        <v>32.571428571428569</v>
      </c>
      <c r="B105" s="7">
        <v>70.357142857142861</v>
      </c>
      <c r="C105" s="7">
        <v>27.573700508023549</v>
      </c>
      <c r="E105" s="7">
        <v>32.571428571428569</v>
      </c>
      <c r="F105" s="8">
        <v>70.449999999999989</v>
      </c>
      <c r="G105" s="7">
        <v>27.573700508023549</v>
      </c>
    </row>
    <row r="106" spans="1:7" x14ac:dyDescent="0.2">
      <c r="A106" s="7">
        <v>32.857142857142854</v>
      </c>
      <c r="B106" s="7">
        <v>70.185714285714283</v>
      </c>
      <c r="C106" s="7">
        <v>25.85303070527824</v>
      </c>
      <c r="E106" s="7">
        <v>32.857142857142854</v>
      </c>
      <c r="F106" s="3">
        <v>70.454545454545453</v>
      </c>
      <c r="G106" s="7">
        <v>27.575050281660751</v>
      </c>
    </row>
    <row r="107" spans="1:7" x14ac:dyDescent="0.2">
      <c r="A107" s="3">
        <v>33</v>
      </c>
      <c r="B107" s="3">
        <v>69.84</v>
      </c>
      <c r="C107" s="3">
        <v>30.441432746289323</v>
      </c>
      <c r="E107" s="3">
        <v>33</v>
      </c>
      <c r="F107" s="6">
        <v>70.474999999999994</v>
      </c>
      <c r="G107" s="7">
        <v>27.578504858538682</v>
      </c>
    </row>
    <row r="108" spans="1:7" x14ac:dyDescent="0.2">
      <c r="A108" s="3">
        <v>33</v>
      </c>
      <c r="B108" s="3">
        <v>56.55</v>
      </c>
      <c r="C108" s="3">
        <v>29.150388035569925</v>
      </c>
      <c r="E108" s="3">
        <v>33</v>
      </c>
      <c r="F108" s="6">
        <v>70.5</v>
      </c>
      <c r="G108" s="3">
        <v>27.702941176470585</v>
      </c>
    </row>
    <row r="109" spans="1:7" x14ac:dyDescent="0.2">
      <c r="A109" s="6">
        <v>33</v>
      </c>
      <c r="B109" s="6">
        <v>64.75</v>
      </c>
      <c r="C109" s="6">
        <v>33.872293309303899</v>
      </c>
      <c r="E109" s="6">
        <v>33</v>
      </c>
      <c r="F109" s="3">
        <v>70.577777777777797</v>
      </c>
      <c r="G109" s="7">
        <v>27.7209878945093</v>
      </c>
    </row>
    <row r="110" spans="1:7" x14ac:dyDescent="0.2">
      <c r="A110" s="8">
        <v>33</v>
      </c>
      <c r="B110" s="8">
        <v>68</v>
      </c>
      <c r="C110" s="9">
        <v>32.479999999999997</v>
      </c>
      <c r="E110" s="8">
        <v>33</v>
      </c>
      <c r="F110" s="7">
        <v>70.588235294117638</v>
      </c>
      <c r="G110" s="3">
        <v>27.747513896875599</v>
      </c>
    </row>
    <row r="111" spans="1:7" x14ac:dyDescent="0.2">
      <c r="A111" s="8">
        <v>33</v>
      </c>
      <c r="B111" s="8">
        <v>72.760000000000005</v>
      </c>
      <c r="C111" s="9">
        <v>24.788382771651911</v>
      </c>
      <c r="E111" s="8">
        <v>33</v>
      </c>
      <c r="F111" s="6">
        <v>70.63333333333334</v>
      </c>
      <c r="G111" s="6">
        <v>27.748289283003242</v>
      </c>
    </row>
    <row r="112" spans="1:7" x14ac:dyDescent="0.2">
      <c r="A112" s="8">
        <v>33</v>
      </c>
      <c r="B112" s="8">
        <v>67.65384615384616</v>
      </c>
      <c r="C112" s="9">
        <v>26.28215353544223</v>
      </c>
      <c r="E112" s="8">
        <v>33</v>
      </c>
      <c r="F112" s="3">
        <v>70.699999999999989</v>
      </c>
      <c r="G112" s="3">
        <v>27.763321192499671</v>
      </c>
    </row>
    <row r="113" spans="1:7" x14ac:dyDescent="0.2">
      <c r="A113" s="7">
        <v>33.294117647058826</v>
      </c>
      <c r="B113" s="7">
        <v>70.588235294117638</v>
      </c>
      <c r="C113" s="7">
        <v>28.396561879125805</v>
      </c>
      <c r="E113" s="7">
        <v>33.294117647058826</v>
      </c>
      <c r="F113" s="3">
        <v>70.7</v>
      </c>
      <c r="G113" s="7">
        <v>27.798992486851986</v>
      </c>
    </row>
    <row r="114" spans="1:7" x14ac:dyDescent="0.2">
      <c r="A114" s="8">
        <v>33.333333333333336</v>
      </c>
      <c r="B114" s="8">
        <v>70.13333333333334</v>
      </c>
      <c r="C114" s="9">
        <v>29.71931605871886</v>
      </c>
      <c r="E114" s="8">
        <v>33.333333333333336</v>
      </c>
      <c r="F114" s="3">
        <v>70.742857142857147</v>
      </c>
      <c r="G114" s="7">
        <v>27.816477994428965</v>
      </c>
    </row>
    <row r="115" spans="1:7" x14ac:dyDescent="0.2">
      <c r="A115" s="3">
        <v>33.4</v>
      </c>
      <c r="B115" s="3">
        <v>63.280000000000008</v>
      </c>
      <c r="C115" s="3">
        <v>28.12569596900655</v>
      </c>
      <c r="E115" s="3">
        <v>33.4</v>
      </c>
      <c r="F115" s="7">
        <v>70.75</v>
      </c>
      <c r="G115" s="7">
        <v>27.877581233864507</v>
      </c>
    </row>
    <row r="116" spans="1:7" x14ac:dyDescent="0.2">
      <c r="A116" s="3">
        <v>33.5</v>
      </c>
      <c r="B116" s="3">
        <v>64.75</v>
      </c>
      <c r="C116" s="3">
        <v>28.67949453869393</v>
      </c>
      <c r="E116" s="3">
        <v>33.5</v>
      </c>
      <c r="F116" s="3">
        <v>70.783333333333331</v>
      </c>
      <c r="G116" s="7">
        <v>27.892785839379535</v>
      </c>
    </row>
    <row r="117" spans="1:7" x14ac:dyDescent="0.2">
      <c r="A117" s="7">
        <v>33.5</v>
      </c>
      <c r="B117" s="7">
        <v>69.349999999999994</v>
      </c>
      <c r="C117" s="7">
        <v>24.51295860566449</v>
      </c>
      <c r="E117" s="7">
        <v>33.5</v>
      </c>
      <c r="F117" s="3">
        <v>70.928571428571431</v>
      </c>
      <c r="G117" s="9">
        <v>27.990415871121716</v>
      </c>
    </row>
    <row r="118" spans="1:7" x14ac:dyDescent="0.2">
      <c r="A118" s="8">
        <v>33.625</v>
      </c>
      <c r="B118" s="8">
        <v>71.987499999999997</v>
      </c>
      <c r="C118" s="9">
        <v>27.508698410181189</v>
      </c>
      <c r="E118" s="8">
        <v>33.625</v>
      </c>
      <c r="F118" s="3">
        <v>70.933333333333337</v>
      </c>
      <c r="G118" s="7">
        <v>28.00581874061897</v>
      </c>
    </row>
    <row r="119" spans="1:7" x14ac:dyDescent="0.2">
      <c r="A119" s="3">
        <v>33.666666666666664</v>
      </c>
      <c r="B119" s="3">
        <v>79.266666666666666</v>
      </c>
      <c r="C119" s="3">
        <v>26.707983946627749</v>
      </c>
      <c r="E119" s="3">
        <v>33.666666666666664</v>
      </c>
      <c r="F119" s="6">
        <v>70.946666666666673</v>
      </c>
      <c r="G119" s="3">
        <v>28.04862406953627</v>
      </c>
    </row>
    <row r="120" spans="1:7" x14ac:dyDescent="0.2">
      <c r="A120" s="7">
        <v>33.666666666666664</v>
      </c>
      <c r="B120" s="7">
        <v>65.066666666666663</v>
      </c>
      <c r="C120" s="7">
        <v>28.170660283922089</v>
      </c>
      <c r="E120" s="7">
        <v>33.666666666666664</v>
      </c>
      <c r="F120" s="7">
        <v>71.100000000000009</v>
      </c>
      <c r="G120" s="3">
        <v>28.054100620612473</v>
      </c>
    </row>
    <row r="121" spans="1:7" x14ac:dyDescent="0.2">
      <c r="A121" s="6">
        <v>33.666666666666664</v>
      </c>
      <c r="B121" s="6">
        <v>66.533333333333346</v>
      </c>
      <c r="C121" s="6">
        <v>33.533440709617182</v>
      </c>
      <c r="E121" s="6">
        <v>33.666666666666664</v>
      </c>
      <c r="F121" s="8">
        <v>71.185714285714297</v>
      </c>
      <c r="G121" s="7">
        <v>28.060761521580098</v>
      </c>
    </row>
    <row r="122" spans="1:7" x14ac:dyDescent="0.2">
      <c r="A122" s="8">
        <v>33.666666666666664</v>
      </c>
      <c r="B122" s="8">
        <v>71.533333333333346</v>
      </c>
      <c r="C122" s="9">
        <v>29.674428720210738</v>
      </c>
      <c r="E122" s="8">
        <v>33.666666666666664</v>
      </c>
      <c r="F122" s="3">
        <v>71.199999999999989</v>
      </c>
      <c r="G122" s="3">
        <v>28.12569596900655</v>
      </c>
    </row>
    <row r="123" spans="1:7" x14ac:dyDescent="0.2">
      <c r="A123" s="3">
        <v>33.705882352941174</v>
      </c>
      <c r="B123" s="3">
        <v>71.494117647058815</v>
      </c>
      <c r="C123" s="3">
        <v>26.319447386175451</v>
      </c>
      <c r="E123" s="3">
        <v>33.705882352941174</v>
      </c>
      <c r="F123" s="3">
        <v>71.2</v>
      </c>
      <c r="G123" s="7">
        <v>28.170660283922089</v>
      </c>
    </row>
    <row r="124" spans="1:7" x14ac:dyDescent="0.2">
      <c r="A124" s="8">
        <v>33.799999999999997</v>
      </c>
      <c r="B124" s="8">
        <v>63.719999999999992</v>
      </c>
      <c r="C124" s="9">
        <v>28.928860203535081</v>
      </c>
      <c r="E124" s="8">
        <v>33.799999999999997</v>
      </c>
      <c r="F124" s="3">
        <v>71.2</v>
      </c>
      <c r="G124" s="6">
        <v>28.257793472966391</v>
      </c>
    </row>
    <row r="125" spans="1:7" x14ac:dyDescent="0.2">
      <c r="A125" s="3">
        <v>34</v>
      </c>
      <c r="B125" s="3">
        <v>62.7</v>
      </c>
      <c r="C125" s="3">
        <v>28.76</v>
      </c>
      <c r="E125" s="3">
        <v>34</v>
      </c>
      <c r="F125" s="3">
        <v>71.3</v>
      </c>
      <c r="G125" s="6">
        <v>28.301973549488054</v>
      </c>
    </row>
    <row r="126" spans="1:7" x14ac:dyDescent="0.2">
      <c r="A126" s="8">
        <v>34</v>
      </c>
      <c r="B126" s="8">
        <v>65.099999999999994</v>
      </c>
      <c r="C126" s="9">
        <v>29.09</v>
      </c>
      <c r="E126" s="8">
        <v>34</v>
      </c>
      <c r="F126" s="6">
        <v>71.316666666666677</v>
      </c>
      <c r="G126" s="6">
        <v>28.336184353798473</v>
      </c>
    </row>
    <row r="127" spans="1:7" x14ac:dyDescent="0.2">
      <c r="A127" s="8">
        <v>34</v>
      </c>
      <c r="B127" s="8">
        <v>67.099999999999994</v>
      </c>
      <c r="C127" s="9">
        <v>29.57</v>
      </c>
      <c r="E127" s="8">
        <v>34</v>
      </c>
      <c r="F127" s="6">
        <v>71.376470588235293</v>
      </c>
      <c r="G127" s="3">
        <v>28.35</v>
      </c>
    </row>
    <row r="128" spans="1:7" x14ac:dyDescent="0.2">
      <c r="A128" s="8">
        <v>34</v>
      </c>
      <c r="B128" s="8">
        <v>69.3</v>
      </c>
      <c r="C128" s="9">
        <v>27.990415871121716</v>
      </c>
      <c r="E128" s="8">
        <v>34</v>
      </c>
      <c r="F128" s="7">
        <v>71.487499999999997</v>
      </c>
      <c r="G128" s="7">
        <v>28.350624332459471</v>
      </c>
    </row>
    <row r="129" spans="1:7" x14ac:dyDescent="0.2">
      <c r="A129" s="8">
        <v>34</v>
      </c>
      <c r="B129" s="8">
        <v>60.7</v>
      </c>
      <c r="C129" s="9">
        <v>24.95</v>
      </c>
      <c r="E129" s="8">
        <v>34</v>
      </c>
      <c r="F129" s="3">
        <v>71.494117647058815</v>
      </c>
      <c r="G129" s="3">
        <v>28.374468017732738</v>
      </c>
    </row>
    <row r="130" spans="1:7" x14ac:dyDescent="0.2">
      <c r="A130" s="7">
        <v>34.125</v>
      </c>
      <c r="B130" s="7">
        <v>64.862499999999997</v>
      </c>
      <c r="C130" s="7">
        <v>29.269173651904165</v>
      </c>
      <c r="E130" s="7">
        <v>34.125</v>
      </c>
      <c r="F130" s="8">
        <v>71.533333333333346</v>
      </c>
      <c r="G130" s="7">
        <v>28.396561879125805</v>
      </c>
    </row>
    <row r="131" spans="1:7" x14ac:dyDescent="0.2">
      <c r="A131" s="8">
        <v>34.200000000000003</v>
      </c>
      <c r="B131" s="8">
        <v>64.640000000000015</v>
      </c>
      <c r="C131" s="9">
        <v>29.428845297118627</v>
      </c>
      <c r="E131" s="8">
        <v>34.200000000000003</v>
      </c>
      <c r="F131" s="3">
        <v>71.55714285714285</v>
      </c>
      <c r="G131" s="3">
        <v>28.408303704352395</v>
      </c>
    </row>
    <row r="132" spans="1:7" x14ac:dyDescent="0.2">
      <c r="A132" s="7">
        <v>34.25</v>
      </c>
      <c r="B132" s="7">
        <v>69.249999999999986</v>
      </c>
      <c r="C132" s="7">
        <v>28.060761521580098</v>
      </c>
      <c r="E132" s="7">
        <v>34.25</v>
      </c>
      <c r="F132" s="7">
        <v>71.581250000000011</v>
      </c>
      <c r="G132" s="9">
        <v>28.417766949935338</v>
      </c>
    </row>
    <row r="133" spans="1:7" x14ac:dyDescent="0.2">
      <c r="A133" s="8">
        <v>34.285714285714285</v>
      </c>
      <c r="B133" s="8">
        <v>71.185714285714297</v>
      </c>
      <c r="C133" s="9">
        <v>28.417766949935338</v>
      </c>
      <c r="E133" s="8">
        <v>34.285714285714285</v>
      </c>
      <c r="F133" s="7">
        <v>71.614285714285714</v>
      </c>
      <c r="G133" s="3">
        <v>28.434181085167136</v>
      </c>
    </row>
    <row r="134" spans="1:7" x14ac:dyDescent="0.2">
      <c r="A134" s="3">
        <v>34.333333333333336</v>
      </c>
      <c r="B134" s="3">
        <v>72.349999999999994</v>
      </c>
      <c r="C134" s="3">
        <v>27.763321192499671</v>
      </c>
      <c r="E134" s="3">
        <v>34.333333333333336</v>
      </c>
      <c r="F134" s="8">
        <v>71.7</v>
      </c>
      <c r="G134" s="3">
        <v>28.450403560830861</v>
      </c>
    </row>
    <row r="135" spans="1:7" x14ac:dyDescent="0.2">
      <c r="A135" s="6">
        <v>34.363636363636367</v>
      </c>
      <c r="B135" s="6">
        <v>69.609090909090909</v>
      </c>
      <c r="C135" s="6">
        <v>28.852186569777619</v>
      </c>
      <c r="E135" s="6">
        <v>34.363636363636367</v>
      </c>
      <c r="F135" s="3">
        <v>71.7</v>
      </c>
      <c r="G135" s="3">
        <v>28.67949453869393</v>
      </c>
    </row>
    <row r="136" spans="1:7" x14ac:dyDescent="0.2">
      <c r="A136" s="3">
        <v>34.5</v>
      </c>
      <c r="B136" s="3">
        <v>75.75</v>
      </c>
      <c r="C136" s="3">
        <v>25.339209982076383</v>
      </c>
      <c r="E136" s="3">
        <v>34.5</v>
      </c>
      <c r="F136" s="3">
        <v>71.871428571428581</v>
      </c>
      <c r="G136" s="3">
        <v>28.696827570722949</v>
      </c>
    </row>
    <row r="137" spans="1:7" x14ac:dyDescent="0.2">
      <c r="A137" s="7">
        <v>34.5</v>
      </c>
      <c r="B137" s="7">
        <v>76.75</v>
      </c>
      <c r="C137" s="7">
        <v>31.630774374460746</v>
      </c>
      <c r="E137" s="7">
        <v>34.5</v>
      </c>
      <c r="F137" s="3">
        <v>71.900000000000006</v>
      </c>
      <c r="G137" s="3">
        <v>28.726244131455399</v>
      </c>
    </row>
    <row r="138" spans="1:7" x14ac:dyDescent="0.2">
      <c r="A138" s="7">
        <v>34.5</v>
      </c>
      <c r="B138" s="7">
        <v>66.55</v>
      </c>
      <c r="C138" s="7">
        <v>27.816477994428965</v>
      </c>
      <c r="E138" s="7">
        <v>34.5</v>
      </c>
      <c r="F138" s="3">
        <v>71.912500000000009</v>
      </c>
      <c r="G138" s="3">
        <v>28.738090878642407</v>
      </c>
    </row>
    <row r="139" spans="1:7" x14ac:dyDescent="0.2">
      <c r="A139" s="6">
        <v>34.5</v>
      </c>
      <c r="B139" s="6">
        <v>70.63333333333334</v>
      </c>
      <c r="C139" s="6">
        <v>30.633456071735196</v>
      </c>
      <c r="E139" s="6">
        <v>34.5</v>
      </c>
      <c r="F139" s="6">
        <v>71.95</v>
      </c>
      <c r="G139" s="3">
        <v>28.759476636629465</v>
      </c>
    </row>
    <row r="140" spans="1:7" x14ac:dyDescent="0.2">
      <c r="A140" s="8">
        <v>34.5</v>
      </c>
      <c r="B140" s="8">
        <v>71.7</v>
      </c>
      <c r="C140" s="9">
        <v>31.336007723427734</v>
      </c>
      <c r="E140" s="8">
        <v>34.5</v>
      </c>
      <c r="F140" s="8">
        <v>71.987499999999997</v>
      </c>
      <c r="G140" s="3">
        <v>28.76</v>
      </c>
    </row>
    <row r="141" spans="1:7" x14ac:dyDescent="0.2">
      <c r="A141" s="6">
        <v>34.583333333333336</v>
      </c>
      <c r="B141" s="6">
        <v>71.316666666666677</v>
      </c>
      <c r="C141" s="6">
        <v>28.336184353798473</v>
      </c>
      <c r="E141" s="6">
        <v>34.583333333333336</v>
      </c>
      <c r="F141" s="7">
        <v>72.033333333333331</v>
      </c>
      <c r="G141" s="3">
        <v>28.795678870989214</v>
      </c>
    </row>
    <row r="142" spans="1:7" x14ac:dyDescent="0.2">
      <c r="A142" s="3">
        <v>34.666666666666664</v>
      </c>
      <c r="B142" s="3">
        <v>74.62222222222222</v>
      </c>
      <c r="C142" s="3">
        <v>30.761725022104336</v>
      </c>
      <c r="E142" s="3">
        <v>34.666666666666664</v>
      </c>
      <c r="F142" s="3">
        <v>72.150000000000006</v>
      </c>
      <c r="G142" s="6">
        <v>28.829069604534162</v>
      </c>
    </row>
    <row r="143" spans="1:7" x14ac:dyDescent="0.2">
      <c r="A143" s="7">
        <v>34.700000000000003</v>
      </c>
      <c r="B143" s="7">
        <v>75.69</v>
      </c>
      <c r="C143" s="7">
        <v>30.423336468471419</v>
      </c>
      <c r="E143" s="7">
        <v>34.700000000000003</v>
      </c>
      <c r="F143" s="3">
        <v>72.223076923076917</v>
      </c>
      <c r="G143" s="3">
        <v>28.84084744796122</v>
      </c>
    </row>
    <row r="144" spans="1:7" x14ac:dyDescent="0.2">
      <c r="A144" s="3">
        <v>34.714285714285715</v>
      </c>
      <c r="B144" s="3">
        <v>70.928571428571431</v>
      </c>
      <c r="C144" s="3">
        <v>31.011762799740762</v>
      </c>
      <c r="E144" s="3">
        <v>34.714285714285715</v>
      </c>
      <c r="F144" s="7">
        <v>72.349999999999994</v>
      </c>
      <c r="G144" s="6">
        <v>28.852186569777619</v>
      </c>
    </row>
    <row r="145" spans="1:7" x14ac:dyDescent="0.2">
      <c r="A145" s="7">
        <v>34.75</v>
      </c>
      <c r="B145" s="7">
        <v>72.8</v>
      </c>
      <c r="C145" s="7">
        <v>26.809047524160608</v>
      </c>
      <c r="E145" s="7">
        <v>34.75</v>
      </c>
      <c r="F145" s="3">
        <v>72.349999999999994</v>
      </c>
      <c r="G145" s="3">
        <v>28.873146923947356</v>
      </c>
    </row>
    <row r="146" spans="1:7" x14ac:dyDescent="0.2">
      <c r="A146" s="6">
        <v>34.833333333333336</v>
      </c>
      <c r="B146" s="6">
        <v>68.899999999999991</v>
      </c>
      <c r="C146" s="6">
        <v>31.125424257821006</v>
      </c>
      <c r="E146" s="6">
        <v>34.833333333333336</v>
      </c>
      <c r="F146" s="7">
        <v>72.38333333333334</v>
      </c>
      <c r="G146" s="7">
        <v>28.886949161887955</v>
      </c>
    </row>
    <row r="147" spans="1:7" x14ac:dyDescent="0.2">
      <c r="A147" s="3">
        <v>34.941176470588232</v>
      </c>
      <c r="B147" s="3">
        <v>68.911764705882348</v>
      </c>
      <c r="C147" s="3">
        <v>30.66388536970457</v>
      </c>
      <c r="E147" s="3">
        <v>34.941176470588232</v>
      </c>
      <c r="F147" s="7">
        <v>72.419999999999987</v>
      </c>
      <c r="G147" s="3">
        <v>28.89601869937756</v>
      </c>
    </row>
    <row r="148" spans="1:7" x14ac:dyDescent="0.2">
      <c r="A148" s="3">
        <v>35</v>
      </c>
      <c r="B148" s="3">
        <v>71.55714285714285</v>
      </c>
      <c r="C148" s="3">
        <v>28.84084744796122</v>
      </c>
      <c r="E148" s="3">
        <v>35</v>
      </c>
      <c r="F148" s="3">
        <v>72.433333333333323</v>
      </c>
      <c r="G148" s="9">
        <v>28.928860203535081</v>
      </c>
    </row>
    <row r="149" spans="1:7" x14ac:dyDescent="0.2">
      <c r="A149" s="3">
        <v>35</v>
      </c>
      <c r="B149" s="3">
        <v>73.471428571428575</v>
      </c>
      <c r="C149" s="3">
        <v>31.044182680432737</v>
      </c>
      <c r="E149" s="3">
        <v>35</v>
      </c>
      <c r="F149" s="3">
        <v>72.442857142857136</v>
      </c>
      <c r="G149" s="3">
        <v>28.937016114430559</v>
      </c>
    </row>
    <row r="150" spans="1:7" x14ac:dyDescent="0.2">
      <c r="A150" s="3">
        <v>35</v>
      </c>
      <c r="B150" s="3">
        <v>68.38000000000001</v>
      </c>
      <c r="C150" s="3">
        <v>29.8304040348964</v>
      </c>
      <c r="E150" s="3">
        <v>35</v>
      </c>
      <c r="F150" s="3">
        <v>72.5</v>
      </c>
      <c r="G150" s="7">
        <v>28.969999999999995</v>
      </c>
    </row>
    <row r="151" spans="1:7" x14ac:dyDescent="0.2">
      <c r="A151" s="7">
        <v>35</v>
      </c>
      <c r="B151" s="7">
        <v>77.057142857142864</v>
      </c>
      <c r="C151" s="7">
        <v>27.134010649126921</v>
      </c>
      <c r="E151" s="7">
        <v>35</v>
      </c>
      <c r="F151" s="6">
        <v>72.5</v>
      </c>
      <c r="G151" s="6">
        <v>29.089738317757014</v>
      </c>
    </row>
    <row r="152" spans="1:7" x14ac:dyDescent="0.2">
      <c r="A152" s="7">
        <v>35</v>
      </c>
      <c r="B152" s="7">
        <v>67.61666666666666</v>
      </c>
      <c r="C152" s="7">
        <v>30.068126220886551</v>
      </c>
      <c r="E152" s="7">
        <v>35</v>
      </c>
      <c r="F152" s="3">
        <v>72.58</v>
      </c>
      <c r="G152" s="9">
        <v>29.09</v>
      </c>
    </row>
    <row r="153" spans="1:7" x14ac:dyDescent="0.2">
      <c r="A153" s="7">
        <v>35</v>
      </c>
      <c r="B153" s="7">
        <v>74.72</v>
      </c>
      <c r="C153" s="7">
        <v>24.908953746717835</v>
      </c>
      <c r="E153" s="7">
        <v>35</v>
      </c>
      <c r="F153" s="7">
        <v>72.590909090909108</v>
      </c>
      <c r="G153" s="7">
        <v>29.142795555977592</v>
      </c>
    </row>
    <row r="154" spans="1:7" x14ac:dyDescent="0.2">
      <c r="A154" s="7">
        <v>35</v>
      </c>
      <c r="B154" s="7">
        <v>72.95</v>
      </c>
      <c r="C154" s="7">
        <v>25.925338235294117</v>
      </c>
      <c r="E154" s="7">
        <v>35</v>
      </c>
      <c r="F154" s="3">
        <v>72.599999999999994</v>
      </c>
      <c r="G154" s="3">
        <v>29.150388035569925</v>
      </c>
    </row>
    <row r="155" spans="1:7" x14ac:dyDescent="0.2">
      <c r="A155" s="6">
        <v>35</v>
      </c>
      <c r="B155" s="6">
        <v>69.666666666666671</v>
      </c>
      <c r="C155" s="6">
        <v>32.38923204336696</v>
      </c>
      <c r="E155" s="6">
        <v>35</v>
      </c>
      <c r="F155" s="6">
        <v>72.62222222222222</v>
      </c>
      <c r="G155" s="3">
        <v>29.15726120556414</v>
      </c>
    </row>
    <row r="156" spans="1:7" x14ac:dyDescent="0.2">
      <c r="A156" s="7">
        <v>35.111111111111114</v>
      </c>
      <c r="B156" s="7">
        <v>72.911111111111097</v>
      </c>
      <c r="C156" s="7">
        <v>29.776718402314202</v>
      </c>
      <c r="E156" s="7">
        <v>35.111111111111114</v>
      </c>
      <c r="F156" s="8">
        <v>72.728571428571428</v>
      </c>
      <c r="G156" s="7">
        <v>29.25314111810858</v>
      </c>
    </row>
    <row r="157" spans="1:7" x14ac:dyDescent="0.2">
      <c r="A157" s="7">
        <v>35.111111111111114</v>
      </c>
      <c r="B157" s="7">
        <v>70.166666666666686</v>
      </c>
      <c r="C157" s="7">
        <v>27.523846280357439</v>
      </c>
      <c r="E157" s="7">
        <v>35.111111111111114</v>
      </c>
      <c r="F157" s="6">
        <v>72.733333333333334</v>
      </c>
      <c r="G157" s="7">
        <v>29.269173651904165</v>
      </c>
    </row>
    <row r="158" spans="1:7" x14ac:dyDescent="0.2">
      <c r="A158" s="3">
        <v>35.142857142857146</v>
      </c>
      <c r="B158" s="3">
        <v>73.971428571428561</v>
      </c>
      <c r="C158" s="3">
        <v>28.434181085167136</v>
      </c>
      <c r="E158" s="3">
        <v>35.142857142857146</v>
      </c>
      <c r="F158" s="8">
        <v>72.760000000000005</v>
      </c>
      <c r="G158" s="7">
        <v>29.326910378443007</v>
      </c>
    </row>
    <row r="159" spans="1:7" x14ac:dyDescent="0.2">
      <c r="A159" s="6">
        <v>35.166666666666664</v>
      </c>
      <c r="B159" s="6">
        <v>65.266666666666666</v>
      </c>
      <c r="C159" s="6">
        <v>29.633339025615268</v>
      </c>
      <c r="E159" s="6">
        <v>35.166666666666664</v>
      </c>
      <c r="F159" s="7">
        <v>72.8</v>
      </c>
      <c r="G159" s="6">
        <v>29.393976408912195</v>
      </c>
    </row>
    <row r="160" spans="1:7" x14ac:dyDescent="0.2">
      <c r="A160" s="3">
        <v>35.200000000000003</v>
      </c>
      <c r="B160" s="3">
        <v>69.44</v>
      </c>
      <c r="C160" s="3">
        <v>29.712317808678169</v>
      </c>
      <c r="E160" s="3">
        <v>35.200000000000003</v>
      </c>
      <c r="F160" s="6">
        <v>72.816666666666663</v>
      </c>
      <c r="G160" s="6">
        <v>29.42</v>
      </c>
    </row>
    <row r="161" spans="1:7" x14ac:dyDescent="0.2">
      <c r="A161" s="3">
        <v>35.200000000000003</v>
      </c>
      <c r="B161" s="3">
        <v>73.66</v>
      </c>
      <c r="C161" s="3">
        <v>28.937016114430559</v>
      </c>
      <c r="E161" s="3">
        <v>35.200000000000003</v>
      </c>
      <c r="F161" s="8">
        <v>72.833333333333329</v>
      </c>
      <c r="G161" s="9">
        <v>29.428845297118627</v>
      </c>
    </row>
    <row r="162" spans="1:7" x14ac:dyDescent="0.2">
      <c r="A162" s="3">
        <v>35.200000000000003</v>
      </c>
      <c r="B162" s="3">
        <v>66.940000000000012</v>
      </c>
      <c r="C162" s="3">
        <v>32.565095417599245</v>
      </c>
      <c r="E162" s="3">
        <v>35.200000000000003</v>
      </c>
      <c r="F162" s="7">
        <v>72.899999999999991</v>
      </c>
      <c r="G162" s="6">
        <v>29.434867024848892</v>
      </c>
    </row>
    <row r="163" spans="1:7" x14ac:dyDescent="0.2">
      <c r="A163" s="8">
        <v>35.25</v>
      </c>
      <c r="B163" s="8">
        <v>75.5</v>
      </c>
      <c r="C163" s="9">
        <v>25.093164875371595</v>
      </c>
      <c r="E163" s="8">
        <v>35.25</v>
      </c>
      <c r="F163" s="7">
        <v>72.911111111111097</v>
      </c>
      <c r="G163" s="6">
        <v>29.485476169956048</v>
      </c>
    </row>
    <row r="164" spans="1:7" x14ac:dyDescent="0.2">
      <c r="A164" s="3">
        <v>35.285714285714285</v>
      </c>
      <c r="B164" s="3">
        <v>71.871428571428581</v>
      </c>
      <c r="C164" s="3">
        <v>28.873146923947356</v>
      </c>
      <c r="E164" s="3">
        <v>35.285714285714285</v>
      </c>
      <c r="F164" s="3">
        <v>72.943749999999994</v>
      </c>
      <c r="G164" s="9">
        <v>29.57</v>
      </c>
    </row>
    <row r="165" spans="1:7" x14ac:dyDescent="0.2">
      <c r="A165" s="3">
        <v>35.333333333333336</v>
      </c>
      <c r="B165" s="3">
        <v>73.11666666666666</v>
      </c>
      <c r="C165" s="3">
        <v>27.510615719406047</v>
      </c>
      <c r="E165" s="3">
        <v>35.333333333333336</v>
      </c>
      <c r="F165" s="7">
        <v>72.95</v>
      </c>
      <c r="G165" s="3">
        <v>29.572039361751045</v>
      </c>
    </row>
    <row r="166" spans="1:7" x14ac:dyDescent="0.2">
      <c r="A166" s="6">
        <v>35.333333333333336</v>
      </c>
      <c r="B166" s="6">
        <v>70.946666666666673</v>
      </c>
      <c r="C166" s="6">
        <v>31.5067871150797</v>
      </c>
      <c r="E166" s="6">
        <v>35.333333333333336</v>
      </c>
      <c r="F166" s="7">
        <v>73</v>
      </c>
      <c r="G166" s="6">
        <v>29.633339025615268</v>
      </c>
    </row>
    <row r="167" spans="1:7" x14ac:dyDescent="0.2">
      <c r="A167" s="3">
        <v>35.4</v>
      </c>
      <c r="B167" s="3">
        <v>72.58</v>
      </c>
      <c r="C167" s="3">
        <v>30.102098314275608</v>
      </c>
      <c r="E167" s="3">
        <v>35.4</v>
      </c>
      <c r="F167" s="7">
        <v>73.08</v>
      </c>
      <c r="G167" s="3">
        <v>29.637322807884814</v>
      </c>
    </row>
    <row r="168" spans="1:7" x14ac:dyDescent="0.2">
      <c r="A168" s="3">
        <v>35.428571428571431</v>
      </c>
      <c r="B168" s="3">
        <v>72.599999999999994</v>
      </c>
      <c r="C168" s="3">
        <v>27.747513896875599</v>
      </c>
      <c r="E168" s="3">
        <v>35.428571428571431</v>
      </c>
      <c r="F168" s="7">
        <v>73.084210526315772</v>
      </c>
      <c r="G168" s="9">
        <v>29.674428720210738</v>
      </c>
    </row>
    <row r="169" spans="1:7" x14ac:dyDescent="0.2">
      <c r="A169" s="3">
        <v>35.428571428571431</v>
      </c>
      <c r="B169" s="3">
        <v>76.099999999999994</v>
      </c>
      <c r="C169" s="3">
        <v>25.773047214911099</v>
      </c>
      <c r="E169" s="3">
        <v>35.428571428571431</v>
      </c>
      <c r="F169" s="3">
        <v>73.11666666666666</v>
      </c>
      <c r="G169" s="3">
        <v>29.712317808678169</v>
      </c>
    </row>
    <row r="170" spans="1:7" x14ac:dyDescent="0.2">
      <c r="A170" s="7">
        <v>35.432432432432435</v>
      </c>
      <c r="B170" s="7">
        <v>70.048648648648637</v>
      </c>
      <c r="C170" s="7">
        <v>28.886949161887955</v>
      </c>
      <c r="E170" s="7">
        <v>35.432432432432435</v>
      </c>
      <c r="F170" s="3">
        <v>73.150000000000006</v>
      </c>
      <c r="G170" s="9">
        <v>29.71931605871886</v>
      </c>
    </row>
    <row r="171" spans="1:7" x14ac:dyDescent="0.2">
      <c r="A171" s="3">
        <v>35.454545454545453</v>
      </c>
      <c r="B171" s="3">
        <v>70.454545454545453</v>
      </c>
      <c r="C171" s="3">
        <v>28.696827570722949</v>
      </c>
      <c r="E171" s="3">
        <v>35.454545454545453</v>
      </c>
      <c r="F171" s="7">
        <v>73.228571428571414</v>
      </c>
      <c r="G171" s="3">
        <v>29.720263779950582</v>
      </c>
    </row>
    <row r="172" spans="1:7" x14ac:dyDescent="0.2">
      <c r="A172" s="3">
        <v>35.571428571428569</v>
      </c>
      <c r="B172" s="3">
        <v>71.7</v>
      </c>
      <c r="C172" s="3">
        <v>30.406915840468677</v>
      </c>
      <c r="E172" s="3">
        <v>35.571428571428569</v>
      </c>
      <c r="F172" s="6">
        <v>73.266666666666666</v>
      </c>
      <c r="G172" s="7">
        <v>29.73</v>
      </c>
    </row>
    <row r="173" spans="1:7" x14ac:dyDescent="0.2">
      <c r="A173" s="3">
        <v>35.625</v>
      </c>
      <c r="B173" s="3">
        <v>70.1875</v>
      </c>
      <c r="C173" s="3">
        <v>29.720263779950582</v>
      </c>
      <c r="E173" s="3">
        <v>35.625</v>
      </c>
      <c r="F173" s="7">
        <v>73.3</v>
      </c>
      <c r="G173" s="7">
        <v>29.776718402314202</v>
      </c>
    </row>
    <row r="174" spans="1:7" x14ac:dyDescent="0.2">
      <c r="A174" s="7">
        <v>35.631578947368418</v>
      </c>
      <c r="B174" s="7">
        <v>73.084210526315772</v>
      </c>
      <c r="C174" s="7">
        <v>30.181658200075116</v>
      </c>
      <c r="E174" s="7">
        <v>35.631578947368418</v>
      </c>
      <c r="F174" s="7">
        <v>73.333333333333329</v>
      </c>
      <c r="G174" s="3">
        <v>29.8304040348964</v>
      </c>
    </row>
    <row r="175" spans="1:7" x14ac:dyDescent="0.2">
      <c r="A175" s="7">
        <v>35.700000000000003</v>
      </c>
      <c r="B175" s="7">
        <v>72.419999999999987</v>
      </c>
      <c r="C175" s="7">
        <v>29.142795555977592</v>
      </c>
      <c r="E175" s="7">
        <v>35.700000000000003</v>
      </c>
      <c r="F175" s="3">
        <v>73.349999999999994</v>
      </c>
      <c r="G175" s="3">
        <v>29.84</v>
      </c>
    </row>
    <row r="176" spans="1:7" x14ac:dyDescent="0.2">
      <c r="A176" s="3">
        <v>35.714285714285715</v>
      </c>
      <c r="B176" s="3">
        <v>70.742857142857147</v>
      </c>
      <c r="C176" s="3">
        <v>30.088241454150843</v>
      </c>
      <c r="E176" s="3">
        <v>35.714285714285715</v>
      </c>
      <c r="F176" s="7">
        <v>73.350000000000009</v>
      </c>
      <c r="G176" s="3">
        <v>29.96</v>
      </c>
    </row>
    <row r="177" spans="1:7" x14ac:dyDescent="0.2">
      <c r="A177" s="6">
        <v>35.75</v>
      </c>
      <c r="B177" s="6">
        <v>66.099999999999994</v>
      </c>
      <c r="C177" s="6">
        <v>31.046080766243854</v>
      </c>
      <c r="E177" s="6">
        <v>35.75</v>
      </c>
      <c r="F177" s="6">
        <v>73.36</v>
      </c>
      <c r="G177" s="3">
        <v>29.99</v>
      </c>
    </row>
    <row r="178" spans="1:7" x14ac:dyDescent="0.2">
      <c r="A178" s="6">
        <v>35.75</v>
      </c>
      <c r="B178" s="6">
        <v>74.712500000000006</v>
      </c>
      <c r="C178" s="6">
        <v>27.36298410790598</v>
      </c>
      <c r="E178" s="6">
        <v>35.75</v>
      </c>
      <c r="F178" s="3">
        <v>73.471428571428575</v>
      </c>
      <c r="G178" s="7">
        <v>30.068126220886551</v>
      </c>
    </row>
    <row r="179" spans="1:7" x14ac:dyDescent="0.2">
      <c r="A179" s="7">
        <v>35.799999999999997</v>
      </c>
      <c r="B179" s="7">
        <v>73.08</v>
      </c>
      <c r="C179" s="7">
        <v>31.307383795309171</v>
      </c>
      <c r="E179" s="7">
        <v>35.799999999999997</v>
      </c>
      <c r="F179" s="3">
        <v>73.5</v>
      </c>
      <c r="G179" s="3">
        <v>30.088241454150843</v>
      </c>
    </row>
    <row r="180" spans="1:7" x14ac:dyDescent="0.2">
      <c r="A180" s="7">
        <v>35.833333333333336</v>
      </c>
      <c r="B180" s="7">
        <v>72.033333333333331</v>
      </c>
      <c r="C180" s="7">
        <v>30.166356154875814</v>
      </c>
      <c r="E180" s="7">
        <v>35.833333333333336</v>
      </c>
      <c r="F180" s="3">
        <v>73.599999999999994</v>
      </c>
      <c r="G180" s="3">
        <v>30.102098314275608</v>
      </c>
    </row>
    <row r="181" spans="1:7" x14ac:dyDescent="0.2">
      <c r="A181" s="7">
        <v>35.888888888888886</v>
      </c>
      <c r="B181" s="7">
        <v>70.444444444444443</v>
      </c>
      <c r="C181" s="7">
        <v>32.164008909910905</v>
      </c>
      <c r="E181" s="7">
        <v>35.888888888888886</v>
      </c>
      <c r="F181" s="3">
        <v>73.599999999999994</v>
      </c>
      <c r="G181" s="7">
        <v>30.166356154875814</v>
      </c>
    </row>
    <row r="182" spans="1:7" x14ac:dyDescent="0.2">
      <c r="A182" s="7">
        <v>35.954545454545453</v>
      </c>
      <c r="B182" s="7">
        <v>73.350000000000009</v>
      </c>
      <c r="C182" s="7">
        <v>30.206859197552948</v>
      </c>
      <c r="E182" s="7">
        <v>35.954545454545453</v>
      </c>
      <c r="F182" s="7">
        <v>73.599999999999994</v>
      </c>
      <c r="G182" s="7">
        <v>30.181658200075116</v>
      </c>
    </row>
    <row r="183" spans="1:7" x14ac:dyDescent="0.2">
      <c r="A183" s="3">
        <v>36</v>
      </c>
      <c r="B183" s="3">
        <v>72.442857142857136</v>
      </c>
      <c r="C183" s="3">
        <v>32.437622925724085</v>
      </c>
      <c r="E183" s="3">
        <v>36</v>
      </c>
      <c r="F183" s="3">
        <v>73.66</v>
      </c>
      <c r="G183" s="7">
        <v>30.206859197552948</v>
      </c>
    </row>
    <row r="184" spans="1:7" x14ac:dyDescent="0.2">
      <c r="A184" s="3">
        <v>36</v>
      </c>
      <c r="B184" s="3">
        <v>71.900000000000006</v>
      </c>
      <c r="C184" s="3">
        <v>29.96</v>
      </c>
      <c r="E184" s="3">
        <v>36</v>
      </c>
      <c r="F184" s="7">
        <v>73.672727272727272</v>
      </c>
      <c r="G184" s="7">
        <v>30.23789193895789</v>
      </c>
    </row>
    <row r="185" spans="1:7" x14ac:dyDescent="0.2">
      <c r="A185" s="3">
        <v>36</v>
      </c>
      <c r="B185" s="3">
        <v>70.7</v>
      </c>
      <c r="C185" s="3">
        <v>28.35</v>
      </c>
      <c r="E185" s="3">
        <v>36</v>
      </c>
      <c r="F185" s="3">
        <v>73.774999999999991</v>
      </c>
      <c r="G185" s="3">
        <v>30.290736304638287</v>
      </c>
    </row>
    <row r="186" spans="1:7" x14ac:dyDescent="0.2">
      <c r="A186" s="3">
        <v>36</v>
      </c>
      <c r="B186" s="3">
        <v>73.5</v>
      </c>
      <c r="C186" s="3">
        <v>30.408556634304201</v>
      </c>
      <c r="E186" s="3">
        <v>36</v>
      </c>
      <c r="F186" s="6">
        <v>73.824999999999989</v>
      </c>
      <c r="G186" s="3">
        <v>30.406915840468677</v>
      </c>
    </row>
    <row r="187" spans="1:7" x14ac:dyDescent="0.2">
      <c r="A187" s="3">
        <v>36</v>
      </c>
      <c r="B187" s="3">
        <v>71.912500000000009</v>
      </c>
      <c r="C187" s="3">
        <v>28.408303704352395</v>
      </c>
      <c r="E187" s="3">
        <v>36</v>
      </c>
      <c r="F187" s="7">
        <v>73.899999999999991</v>
      </c>
      <c r="G187" s="3">
        <v>30.408556634304201</v>
      </c>
    </row>
    <row r="188" spans="1:7" x14ac:dyDescent="0.2">
      <c r="A188" s="7">
        <v>36</v>
      </c>
      <c r="B188" s="7">
        <v>74.655555555555551</v>
      </c>
      <c r="C188" s="7">
        <v>30.658685376661733</v>
      </c>
      <c r="E188" s="7">
        <v>36</v>
      </c>
      <c r="F188" s="7">
        <v>73.958333333333329</v>
      </c>
      <c r="G188" s="7">
        <v>30.423336468471419</v>
      </c>
    </row>
    <row r="189" spans="1:7" x14ac:dyDescent="0.2">
      <c r="A189" s="7">
        <v>36</v>
      </c>
      <c r="B189" s="7">
        <v>65.650000000000006</v>
      </c>
      <c r="C189" s="7">
        <v>28.969999999999995</v>
      </c>
      <c r="E189" s="7">
        <v>36</v>
      </c>
      <c r="F189" s="3">
        <v>73.971428571428561</v>
      </c>
      <c r="G189" s="7">
        <v>30.44</v>
      </c>
    </row>
    <row r="190" spans="1:7" x14ac:dyDescent="0.2">
      <c r="A190" s="7">
        <v>36</v>
      </c>
      <c r="B190" s="7">
        <v>75.328571428571422</v>
      </c>
      <c r="C190" s="7">
        <v>24.993281828931806</v>
      </c>
      <c r="E190" s="7">
        <v>36</v>
      </c>
      <c r="F190" s="3">
        <v>74.168148463088926</v>
      </c>
      <c r="G190" s="3">
        <v>30.441432746289323</v>
      </c>
    </row>
    <row r="191" spans="1:7" x14ac:dyDescent="0.2">
      <c r="A191" s="3">
        <v>36.125</v>
      </c>
      <c r="B191" s="3">
        <v>69.712499999999991</v>
      </c>
      <c r="C191" s="3">
        <v>30.290736304638287</v>
      </c>
      <c r="E191" s="3">
        <v>36.125</v>
      </c>
      <c r="F191" s="7">
        <v>74.44</v>
      </c>
      <c r="G191" s="7">
        <v>30.530269449505827</v>
      </c>
    </row>
    <row r="192" spans="1:7" x14ac:dyDescent="0.2">
      <c r="A192" s="3">
        <v>36.166666666666664</v>
      </c>
      <c r="B192" s="3">
        <v>70.783333333333331</v>
      </c>
      <c r="C192" s="3">
        <v>28.04862406953627</v>
      </c>
      <c r="E192" s="3">
        <v>36.166666666666664</v>
      </c>
      <c r="F192" s="3">
        <v>74.44285714285715</v>
      </c>
      <c r="G192" s="6">
        <v>30.633456071735196</v>
      </c>
    </row>
    <row r="193" spans="1:7" x14ac:dyDescent="0.2">
      <c r="A193" s="7">
        <v>36.272727272727273</v>
      </c>
      <c r="B193" s="7">
        <v>73.672727272727272</v>
      </c>
      <c r="C193" s="7">
        <v>29.25314111810858</v>
      </c>
      <c r="E193" s="7">
        <v>36.272727272727273</v>
      </c>
      <c r="F193" s="3">
        <v>74.460000000000008</v>
      </c>
      <c r="G193" s="7">
        <v>30.658685376661733</v>
      </c>
    </row>
    <row r="194" spans="1:7" x14ac:dyDescent="0.2">
      <c r="A194" s="7">
        <v>36.285714285714285</v>
      </c>
      <c r="B194" s="7">
        <v>71.614285714285714</v>
      </c>
      <c r="C194" s="7">
        <v>31.749609147609149</v>
      </c>
      <c r="E194" s="7">
        <v>36.285714285714285</v>
      </c>
      <c r="F194" s="7">
        <v>74.614285714285714</v>
      </c>
      <c r="G194" s="3">
        <v>30.66388536970457</v>
      </c>
    </row>
    <row r="195" spans="1:7" x14ac:dyDescent="0.2">
      <c r="A195" s="3">
        <v>36.333333333333336</v>
      </c>
      <c r="B195" s="3">
        <v>74.722222222222229</v>
      </c>
      <c r="C195" s="3">
        <v>31.545646675060091</v>
      </c>
      <c r="E195" s="3">
        <v>36.333333333333336</v>
      </c>
      <c r="F195" s="3">
        <v>74.62222222222222</v>
      </c>
      <c r="G195" s="3">
        <v>30.761725022104336</v>
      </c>
    </row>
    <row r="196" spans="1:7" x14ac:dyDescent="0.2">
      <c r="A196" s="7">
        <v>36.333333333333336</v>
      </c>
      <c r="B196" s="7">
        <v>72.899999999999991</v>
      </c>
      <c r="C196" s="7">
        <v>26.842666894664841</v>
      </c>
      <c r="E196" s="7">
        <v>36.333333333333336</v>
      </c>
      <c r="F196" s="7">
        <v>74.650000000000006</v>
      </c>
      <c r="G196" s="3">
        <v>31.011762799740762</v>
      </c>
    </row>
    <row r="197" spans="1:7" x14ac:dyDescent="0.2">
      <c r="A197" s="6">
        <v>36.375</v>
      </c>
      <c r="B197" s="6">
        <v>65.9375</v>
      </c>
      <c r="C197" s="6">
        <v>31.504660484741439</v>
      </c>
      <c r="E197" s="6">
        <v>36.375</v>
      </c>
      <c r="F197" s="7">
        <v>74.655555555555551</v>
      </c>
      <c r="G197" s="9">
        <v>31.026247712019526</v>
      </c>
    </row>
    <row r="198" spans="1:7" x14ac:dyDescent="0.2">
      <c r="A198" s="6">
        <v>36.5</v>
      </c>
      <c r="B198" s="6">
        <v>71.95</v>
      </c>
      <c r="C198" s="6">
        <v>29.434867024848892</v>
      </c>
      <c r="E198" s="6">
        <v>36.5</v>
      </c>
      <c r="F198" s="6">
        <v>74.712500000000006</v>
      </c>
      <c r="G198" s="3">
        <v>31.044182680432737</v>
      </c>
    </row>
    <row r="199" spans="1:7" x14ac:dyDescent="0.2">
      <c r="A199" s="6">
        <v>36.5</v>
      </c>
      <c r="B199" s="6">
        <v>62.9</v>
      </c>
      <c r="C199" s="6">
        <v>29.089738317757014</v>
      </c>
      <c r="E199" s="6">
        <v>36.5</v>
      </c>
      <c r="F199" s="7">
        <v>74.72</v>
      </c>
      <c r="G199" s="6">
        <v>31.046080766243854</v>
      </c>
    </row>
    <row r="200" spans="1:7" x14ac:dyDescent="0.2">
      <c r="A200" s="3">
        <v>36.533333333333331</v>
      </c>
      <c r="B200" s="3">
        <v>68.180000000000007</v>
      </c>
      <c r="C200" s="3">
        <v>28.374468017732738</v>
      </c>
      <c r="E200" s="3">
        <v>36.533333333333331</v>
      </c>
      <c r="F200" s="3">
        <v>74.722222222222229</v>
      </c>
      <c r="G200" s="6">
        <v>31.125424257821006</v>
      </c>
    </row>
    <row r="201" spans="1:7" x14ac:dyDescent="0.2">
      <c r="A201" s="3">
        <v>36.75</v>
      </c>
      <c r="B201" s="3">
        <v>73.774999999999991</v>
      </c>
      <c r="C201" s="3">
        <v>28.759476636629465</v>
      </c>
      <c r="E201" s="3">
        <v>36.75</v>
      </c>
      <c r="F201" s="6">
        <v>74.938888888888883</v>
      </c>
      <c r="G201" s="7">
        <v>31.26</v>
      </c>
    </row>
    <row r="202" spans="1:7" x14ac:dyDescent="0.2">
      <c r="A202" s="7">
        <v>36.75</v>
      </c>
      <c r="B202" s="7">
        <v>73.958333333333329</v>
      </c>
      <c r="C202" s="7">
        <v>31.894628106405325</v>
      </c>
      <c r="E202" s="7">
        <v>36.75</v>
      </c>
      <c r="F202" s="7">
        <v>75.24444444444444</v>
      </c>
      <c r="G202" s="7">
        <v>31.307383795309171</v>
      </c>
    </row>
    <row r="203" spans="1:7" x14ac:dyDescent="0.2">
      <c r="A203" s="7">
        <v>36.777777777777779</v>
      </c>
      <c r="B203" s="7">
        <v>75.24444444444444</v>
      </c>
      <c r="C203" s="7">
        <v>30.23789193895789</v>
      </c>
      <c r="E203" s="7">
        <v>36.777777777777779</v>
      </c>
      <c r="F203" s="7">
        <v>75.328571428571422</v>
      </c>
      <c r="G203" s="9">
        <v>31.336007723427734</v>
      </c>
    </row>
    <row r="204" spans="1:7" x14ac:dyDescent="0.2">
      <c r="A204" s="7">
        <v>36.9</v>
      </c>
      <c r="B204" s="7">
        <v>67.434999999999974</v>
      </c>
      <c r="C204" s="7">
        <v>33.329438267740322</v>
      </c>
      <c r="E204" s="7">
        <v>36.9</v>
      </c>
      <c r="F204" s="7">
        <v>75.48888888888888</v>
      </c>
      <c r="G204" s="7">
        <v>31.493903731173837</v>
      </c>
    </row>
    <row r="205" spans="1:7" x14ac:dyDescent="0.2">
      <c r="A205" s="3">
        <v>37</v>
      </c>
      <c r="B205" s="3">
        <v>70.699999999999989</v>
      </c>
      <c r="C205" s="3">
        <v>34.592100400369574</v>
      </c>
      <c r="E205" s="3">
        <v>37</v>
      </c>
      <c r="F205" s="8">
        <v>75.5</v>
      </c>
      <c r="G205" s="6">
        <v>31.504660484741439</v>
      </c>
    </row>
    <row r="206" spans="1:7" x14ac:dyDescent="0.2">
      <c r="A206" s="3">
        <v>37</v>
      </c>
      <c r="B206" s="3">
        <v>68.320000000000007</v>
      </c>
      <c r="C206" s="3">
        <v>32.166338236129249</v>
      </c>
      <c r="E206" s="3">
        <v>37</v>
      </c>
      <c r="F206" s="7">
        <v>75.550000000000011</v>
      </c>
      <c r="G206" s="6">
        <v>31.5067871150797</v>
      </c>
    </row>
    <row r="207" spans="1:7" x14ac:dyDescent="0.2">
      <c r="A207" s="3">
        <v>37</v>
      </c>
      <c r="B207" s="3">
        <v>61</v>
      </c>
      <c r="C207" s="3">
        <v>29.99</v>
      </c>
      <c r="E207" s="3">
        <v>37</v>
      </c>
      <c r="F207" s="7">
        <v>75.69</v>
      </c>
      <c r="G207" s="3">
        <v>31.545646675060091</v>
      </c>
    </row>
    <row r="208" spans="1:7" x14ac:dyDescent="0.2">
      <c r="A208" s="3">
        <v>37</v>
      </c>
      <c r="B208" s="3">
        <v>68.433333333333323</v>
      </c>
      <c r="C208" s="3">
        <v>26.732114996280156</v>
      </c>
      <c r="E208" s="3">
        <v>37</v>
      </c>
      <c r="F208" s="3">
        <v>75.75</v>
      </c>
      <c r="G208" s="7">
        <v>31.630774374460746</v>
      </c>
    </row>
    <row r="209" spans="1:7" x14ac:dyDescent="0.2">
      <c r="A209" s="7">
        <v>37</v>
      </c>
      <c r="B209" s="7">
        <v>69</v>
      </c>
      <c r="C209" s="7">
        <v>31.26</v>
      </c>
      <c r="E209" s="7">
        <v>37</v>
      </c>
      <c r="F209" s="6">
        <v>75.900000000000006</v>
      </c>
      <c r="G209" s="7">
        <v>31.749609147609149</v>
      </c>
    </row>
    <row r="210" spans="1:7" x14ac:dyDescent="0.2">
      <c r="A210" s="7">
        <v>37</v>
      </c>
      <c r="B210" s="7">
        <v>76.650000000000006</v>
      </c>
      <c r="C210" s="7">
        <v>26.240086037185566</v>
      </c>
      <c r="E210" s="7">
        <v>37</v>
      </c>
      <c r="F210" s="3">
        <v>75.900000000000006</v>
      </c>
      <c r="G210" s="7">
        <v>31.894628106405325</v>
      </c>
    </row>
    <row r="211" spans="1:7" x14ac:dyDescent="0.2">
      <c r="A211" s="7">
        <v>37</v>
      </c>
      <c r="B211" s="7">
        <v>74.650000000000006</v>
      </c>
      <c r="C211" s="7">
        <v>31.493903731173837</v>
      </c>
      <c r="E211" s="7">
        <v>37</v>
      </c>
      <c r="F211" s="8">
        <v>75.95</v>
      </c>
      <c r="G211" s="3">
        <v>31.997408101219179</v>
      </c>
    </row>
    <row r="212" spans="1:7" x14ac:dyDescent="0.2">
      <c r="A212" s="7">
        <v>37</v>
      </c>
      <c r="B212" s="7">
        <v>67.400000000000006</v>
      </c>
      <c r="C212" s="7">
        <v>30.44</v>
      </c>
      <c r="E212" s="7">
        <v>37</v>
      </c>
      <c r="F212" s="3">
        <v>75.966666666666669</v>
      </c>
      <c r="G212" s="6">
        <v>32.136571575872139</v>
      </c>
    </row>
    <row r="213" spans="1:7" x14ac:dyDescent="0.2">
      <c r="A213" s="7">
        <v>37</v>
      </c>
      <c r="B213" s="7">
        <v>76.174999999999997</v>
      </c>
      <c r="C213" s="7">
        <v>27.877581233864507</v>
      </c>
      <c r="E213" s="7">
        <v>37</v>
      </c>
      <c r="F213" s="3">
        <v>76.099999999999994</v>
      </c>
      <c r="G213" s="7">
        <v>32.164008909910905</v>
      </c>
    </row>
    <row r="214" spans="1:7" x14ac:dyDescent="0.2">
      <c r="A214" s="7">
        <v>37</v>
      </c>
      <c r="B214" s="7">
        <v>70.25</v>
      </c>
      <c r="C214" s="7">
        <v>26.82191489361702</v>
      </c>
      <c r="E214" s="7">
        <v>37</v>
      </c>
      <c r="F214" s="7">
        <v>76.174999999999997</v>
      </c>
      <c r="G214" s="3">
        <v>32.166338236129249</v>
      </c>
    </row>
    <row r="215" spans="1:7" x14ac:dyDescent="0.2">
      <c r="A215" s="6">
        <v>37</v>
      </c>
      <c r="B215" s="6">
        <v>67.599999999999994</v>
      </c>
      <c r="C215" s="6">
        <v>25.553889343145272</v>
      </c>
      <c r="E215" s="6">
        <v>37</v>
      </c>
      <c r="F215" s="8">
        <v>76.3</v>
      </c>
      <c r="G215" s="7">
        <v>32.340501690090726</v>
      </c>
    </row>
    <row r="216" spans="1:7" x14ac:dyDescent="0.2">
      <c r="A216" s="7">
        <v>37.166666666666664</v>
      </c>
      <c r="B216" s="7">
        <v>72.38333333333334</v>
      </c>
      <c r="C216" s="7">
        <v>32.340501690090726</v>
      </c>
      <c r="E216" s="7">
        <v>37.166666666666664</v>
      </c>
      <c r="F216" s="7">
        <v>76.650000000000006</v>
      </c>
      <c r="G216" s="6">
        <v>32.38923204336696</v>
      </c>
    </row>
    <row r="217" spans="1:7" x14ac:dyDescent="0.2">
      <c r="A217" s="6">
        <v>37.200000000000003</v>
      </c>
      <c r="B217" s="6">
        <v>72.5</v>
      </c>
      <c r="C217" s="6">
        <v>29.485476169956048</v>
      </c>
      <c r="E217" s="6">
        <v>37.200000000000003</v>
      </c>
      <c r="F217" s="7">
        <v>76.75</v>
      </c>
      <c r="G217" s="3">
        <v>32.437622925724085</v>
      </c>
    </row>
    <row r="218" spans="1:7" x14ac:dyDescent="0.2">
      <c r="A218" s="7">
        <v>37.5</v>
      </c>
      <c r="B218" s="7">
        <v>68.424999999999997</v>
      </c>
      <c r="C218" s="7">
        <v>30.530269449505827</v>
      </c>
      <c r="E218" s="7">
        <v>37.5</v>
      </c>
      <c r="F218" s="7">
        <v>76.825000000000003</v>
      </c>
      <c r="G218" s="9">
        <v>32.479999999999997</v>
      </c>
    </row>
    <row r="219" spans="1:7" x14ac:dyDescent="0.2">
      <c r="A219" s="3">
        <v>37.666666666666664</v>
      </c>
      <c r="B219" s="3">
        <v>72.433333333333323</v>
      </c>
      <c r="C219" s="3">
        <v>31.997408101219179</v>
      </c>
      <c r="E219" s="3">
        <v>37.666666666666664</v>
      </c>
      <c r="F219" s="3">
        <v>76.849999999999994</v>
      </c>
      <c r="G219" s="3">
        <v>32.565095417599245</v>
      </c>
    </row>
    <row r="220" spans="1:7" x14ac:dyDescent="0.2">
      <c r="A220" s="3">
        <v>38</v>
      </c>
      <c r="B220" s="3">
        <v>67</v>
      </c>
      <c r="C220" s="3">
        <v>29.84</v>
      </c>
      <c r="E220" s="3">
        <v>38</v>
      </c>
      <c r="F220" s="7">
        <v>77.057142857142864</v>
      </c>
      <c r="G220" s="7">
        <v>33.329438267740322</v>
      </c>
    </row>
    <row r="221" spans="1:7" x14ac:dyDescent="0.2">
      <c r="A221" s="3">
        <v>38</v>
      </c>
      <c r="B221" s="3">
        <v>65.599999999999994</v>
      </c>
      <c r="C221" s="3">
        <v>28.450403560830861</v>
      </c>
      <c r="E221" s="3">
        <v>38</v>
      </c>
      <c r="F221" s="3">
        <v>77.325000000000003</v>
      </c>
      <c r="G221" s="3">
        <v>33.429525147358561</v>
      </c>
    </row>
    <row r="222" spans="1:7" x14ac:dyDescent="0.2">
      <c r="A222" s="3">
        <v>38.117647058823529</v>
      </c>
      <c r="B222" s="3">
        <v>77.696296296296296</v>
      </c>
      <c r="C222" s="3">
        <v>25.854515274141082</v>
      </c>
      <c r="E222" s="3">
        <v>38.117647058823529</v>
      </c>
      <c r="F222" s="3">
        <v>77.696296296296296</v>
      </c>
      <c r="G222" s="6">
        <v>33.533440709617182</v>
      </c>
    </row>
    <row r="223" spans="1:7" x14ac:dyDescent="0.2">
      <c r="A223" s="3">
        <v>38.142857142857146</v>
      </c>
      <c r="B223" s="3">
        <v>70.428571428571431</v>
      </c>
      <c r="C223" s="3">
        <v>33.429525147358561</v>
      </c>
      <c r="E223" s="3">
        <v>38.142857142857146</v>
      </c>
      <c r="F223" s="3">
        <v>79.266666666666666</v>
      </c>
      <c r="G223" s="6">
        <v>33.872293309303899</v>
      </c>
    </row>
    <row r="224" spans="1:7" x14ac:dyDescent="0.2">
      <c r="A224" s="7">
        <v>40</v>
      </c>
      <c r="B224" s="7">
        <v>65.599999999999994</v>
      </c>
      <c r="C224" s="7">
        <v>29.73</v>
      </c>
      <c r="E224" s="7">
        <v>40</v>
      </c>
      <c r="F224" s="3">
        <v>80.400000000000006</v>
      </c>
      <c r="G224" s="3">
        <v>34.592100400369574</v>
      </c>
    </row>
  </sheetData>
  <sortState xmlns:xlrd2="http://schemas.microsoft.com/office/spreadsheetml/2017/richdata2" ref="G2:G226">
    <sortCondition ref="G2:G226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Данные</vt:lpstr>
      <vt:lpstr>Статистика</vt:lpstr>
      <vt:lpstr>Первичная обработка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2026-09-04T07:22:38Z</dcterms:modified>
</cp:coreProperties>
</file>